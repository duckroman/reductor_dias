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6\PEOCESO ELECTORAL 2026-2027\Reclutamiento SE y CAE\"/>
    </mc:Choice>
  </mc:AlternateContent>
  <xr:revisionPtr revIDLastSave="0" documentId="8_{E5C15D12-6DDE-4707-9839-1D6EE0B07DDB}" xr6:coauthVersionLast="47" xr6:coauthVersionMax="47" xr10:uidLastSave="{00000000-0000-0000-0000-000000000000}"/>
  <bookViews>
    <workbookView xWindow="-120" yWindow="-120" windowWidth="29040" windowHeight="15720" xr2:uid="{D3C7E6B5-2A0E-4AF2-BE80-0C96F41EC4B0}"/>
  </bookViews>
  <sheets>
    <sheet name="Avance" sheetId="8" r:id="rId1"/>
    <sheet name="Hoja1" sheetId="9" r:id="rId2"/>
  </sheets>
  <definedNames>
    <definedName name="_xlnm.Print_Area" localSheetId="0">Avance!$A:$V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" i="9" l="1"/>
  <c r="M4" i="9" s="1"/>
  <c r="N5" i="9"/>
  <c r="M5" i="9" s="1"/>
  <c r="N6" i="9"/>
  <c r="M6" i="9" s="1"/>
  <c r="N7" i="9"/>
  <c r="M7" i="9" s="1"/>
  <c r="N8" i="9"/>
  <c r="M8" i="9" s="1"/>
  <c r="N9" i="9"/>
  <c r="M9" i="9" s="1"/>
  <c r="N10" i="9"/>
  <c r="M10" i="9" s="1"/>
  <c r="N11" i="9"/>
  <c r="M11" i="9" s="1"/>
  <c r="N12" i="9"/>
  <c r="M12" i="9" s="1"/>
  <c r="N13" i="9"/>
  <c r="M13" i="9" s="1"/>
  <c r="N14" i="9"/>
  <c r="M14" i="9" s="1"/>
  <c r="N15" i="9"/>
  <c r="M15" i="9" s="1"/>
  <c r="N16" i="9"/>
  <c r="M16" i="9" s="1"/>
  <c r="N17" i="9"/>
  <c r="M17" i="9" s="1"/>
  <c r="N18" i="9"/>
  <c r="M18" i="9" s="1"/>
  <c r="N19" i="9"/>
  <c r="M19" i="9" s="1"/>
  <c r="N20" i="9"/>
  <c r="M20" i="9" s="1"/>
  <c r="N21" i="9"/>
  <c r="M21" i="9" s="1"/>
  <c r="N22" i="9"/>
  <c r="M22" i="9" s="1"/>
  <c r="N23" i="9"/>
  <c r="M23" i="9" s="1"/>
  <c r="N24" i="9"/>
  <c r="M24" i="9" s="1"/>
  <c r="N25" i="9"/>
  <c r="M25" i="9" s="1"/>
  <c r="N26" i="9"/>
  <c r="M26" i="9" s="1"/>
  <c r="N27" i="9"/>
  <c r="M27" i="9" s="1"/>
  <c r="N28" i="9"/>
  <c r="M28" i="9" s="1"/>
  <c r="N29" i="9"/>
  <c r="M29" i="9" s="1"/>
  <c r="N30" i="9"/>
  <c r="M30" i="9" s="1"/>
  <c r="N31" i="9"/>
  <c r="N32" i="9"/>
  <c r="M32" i="9" s="1"/>
  <c r="N33" i="9"/>
  <c r="M33" i="9" s="1"/>
  <c r="N34" i="9"/>
  <c r="M34" i="9" s="1"/>
  <c r="N35" i="9"/>
  <c r="M35" i="9" s="1"/>
  <c r="N36" i="9"/>
  <c r="M36" i="9" s="1"/>
  <c r="N37" i="9"/>
  <c r="M37" i="9" s="1"/>
  <c r="N38" i="9"/>
  <c r="M38" i="9" s="1"/>
  <c r="N39" i="9"/>
  <c r="M39" i="9" s="1"/>
  <c r="N40" i="9"/>
  <c r="M40" i="9" s="1"/>
  <c r="N41" i="9"/>
  <c r="M41" i="9" s="1"/>
  <c r="N42" i="9"/>
  <c r="N3" i="9"/>
  <c r="M3" i="9" s="1"/>
  <c r="H4" i="9"/>
  <c r="G4" i="9" s="1"/>
  <c r="H5" i="9"/>
  <c r="G5" i="9" s="1"/>
  <c r="H6" i="9"/>
  <c r="G6" i="9" s="1"/>
  <c r="H7" i="9"/>
  <c r="G7" i="9" s="1"/>
  <c r="H8" i="9"/>
  <c r="G8" i="9" s="1"/>
  <c r="H9" i="9"/>
  <c r="G9" i="9" s="1"/>
  <c r="H10" i="9"/>
  <c r="G10" i="9" s="1"/>
  <c r="H11" i="9"/>
  <c r="G11" i="9" s="1"/>
  <c r="H12" i="9"/>
  <c r="G12" i="9" s="1"/>
  <c r="H13" i="9"/>
  <c r="G13" i="9" s="1"/>
  <c r="H14" i="9"/>
  <c r="G14" i="9" s="1"/>
  <c r="H15" i="9"/>
  <c r="G15" i="9" s="1"/>
  <c r="H16" i="9"/>
  <c r="G16" i="9" s="1"/>
  <c r="H17" i="9"/>
  <c r="G17" i="9" s="1"/>
  <c r="H18" i="9"/>
  <c r="G18" i="9" s="1"/>
  <c r="H19" i="9"/>
  <c r="G19" i="9" s="1"/>
  <c r="H20" i="9"/>
  <c r="G20" i="9" s="1"/>
  <c r="H21" i="9"/>
  <c r="G21" i="9" s="1"/>
  <c r="H22" i="9"/>
  <c r="G22" i="9" s="1"/>
  <c r="H23" i="9"/>
  <c r="G23" i="9" s="1"/>
  <c r="H24" i="9"/>
  <c r="G24" i="9" s="1"/>
  <c r="H25" i="9"/>
  <c r="G25" i="9" s="1"/>
  <c r="H26" i="9"/>
  <c r="G26" i="9" s="1"/>
  <c r="H27" i="9"/>
  <c r="G27" i="9" s="1"/>
  <c r="H28" i="9"/>
  <c r="G28" i="9" s="1"/>
  <c r="H29" i="9"/>
  <c r="G29" i="9" s="1"/>
  <c r="H30" i="9"/>
  <c r="G30" i="9" s="1"/>
  <c r="H31" i="9"/>
  <c r="G31" i="9" s="1"/>
  <c r="H32" i="9"/>
  <c r="G32" i="9" s="1"/>
  <c r="H33" i="9"/>
  <c r="G33" i="9" s="1"/>
  <c r="H34" i="9"/>
  <c r="G34" i="9" s="1"/>
  <c r="H35" i="9"/>
  <c r="G35" i="9" s="1"/>
  <c r="H36" i="9"/>
  <c r="G36" i="9" s="1"/>
  <c r="H37" i="9"/>
  <c r="G37" i="9" s="1"/>
  <c r="H38" i="9"/>
  <c r="G38" i="9" s="1"/>
  <c r="H39" i="9"/>
  <c r="G39" i="9" s="1"/>
  <c r="H40" i="9"/>
  <c r="G40" i="9" s="1"/>
  <c r="H41" i="9"/>
  <c r="G41" i="9" s="1"/>
  <c r="H42" i="9"/>
  <c r="G42" i="9" s="1"/>
  <c r="H3" i="9"/>
  <c r="G3" i="9" s="1"/>
  <c r="C4" i="9"/>
  <c r="B4" i="9" s="1"/>
  <c r="C5" i="9"/>
  <c r="B5" i="9" s="1"/>
  <c r="C6" i="9"/>
  <c r="B6" i="9" s="1"/>
  <c r="C7" i="9"/>
  <c r="B7" i="9" s="1"/>
  <c r="C8" i="9"/>
  <c r="B8" i="9" s="1"/>
  <c r="C9" i="9"/>
  <c r="B9" i="9" s="1"/>
  <c r="C10" i="9"/>
  <c r="B10" i="9" s="1"/>
  <c r="C11" i="9"/>
  <c r="B11" i="9" s="1"/>
  <c r="C12" i="9"/>
  <c r="B12" i="9" s="1"/>
  <c r="C13" i="9"/>
  <c r="B13" i="9" s="1"/>
  <c r="C14" i="9"/>
  <c r="B14" i="9" s="1"/>
  <c r="C15" i="9"/>
  <c r="B15" i="9" s="1"/>
  <c r="C16" i="9"/>
  <c r="B16" i="9" s="1"/>
  <c r="C17" i="9"/>
  <c r="B17" i="9" s="1"/>
  <c r="C18" i="9"/>
  <c r="B18" i="9" s="1"/>
  <c r="C19" i="9"/>
  <c r="B19" i="9" s="1"/>
  <c r="C20" i="9"/>
  <c r="B20" i="9" s="1"/>
  <c r="C21" i="9"/>
  <c r="B21" i="9" s="1"/>
  <c r="C22" i="9"/>
  <c r="B22" i="9" s="1"/>
  <c r="C23" i="9"/>
  <c r="B23" i="9" s="1"/>
  <c r="C24" i="9"/>
  <c r="B24" i="9" s="1"/>
  <c r="C25" i="9"/>
  <c r="B25" i="9" s="1"/>
  <c r="C26" i="9"/>
  <c r="B26" i="9" s="1"/>
  <c r="C27" i="9"/>
  <c r="B27" i="9" s="1"/>
  <c r="C28" i="9"/>
  <c r="B28" i="9" s="1"/>
  <c r="C29" i="9"/>
  <c r="B29" i="9" s="1"/>
  <c r="C30" i="9"/>
  <c r="B30" i="9" s="1"/>
  <c r="C31" i="9"/>
  <c r="B31" i="9" s="1"/>
  <c r="C32" i="9"/>
  <c r="B32" i="9" s="1"/>
  <c r="C33" i="9"/>
  <c r="B33" i="9" s="1"/>
  <c r="C34" i="9"/>
  <c r="B34" i="9" s="1"/>
  <c r="C35" i="9"/>
  <c r="B35" i="9" s="1"/>
  <c r="C36" i="9"/>
  <c r="B36" i="9" s="1"/>
  <c r="C37" i="9"/>
  <c r="B37" i="9" s="1"/>
  <c r="C38" i="9"/>
  <c r="B38" i="9" s="1"/>
  <c r="C39" i="9"/>
  <c r="B39" i="9" s="1"/>
  <c r="C40" i="9"/>
  <c r="B40" i="9" s="1"/>
  <c r="C41" i="9"/>
  <c r="B41" i="9" s="1"/>
  <c r="C42" i="9"/>
  <c r="B42" i="9" s="1"/>
  <c r="C3" i="9"/>
  <c r="B3" i="9" s="1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13" i="8"/>
  <c r="M31" i="9" l="1"/>
  <c r="M42" i="9"/>
</calcChain>
</file>

<file path=xl/sharedStrings.xml><?xml version="1.0" encoding="utf-8"?>
<sst xmlns="http://schemas.openxmlformats.org/spreadsheetml/2006/main" count="366" uniqueCount="103">
  <si>
    <t>Junta Local Ejecutiva en el Estado de México</t>
  </si>
  <si>
    <t>Vocalía de Capacitación Electoral y Educación Cívica</t>
  </si>
  <si>
    <t>Proceso Electoral Concurrente 2026-2027</t>
  </si>
  <si>
    <t>Reporte sobre el avance del proceso de recontratación</t>
  </si>
  <si>
    <t>Fecha de corte:</t>
  </si>
  <si>
    <t>Nota: en los casos de las personas que hayan participado en más de un proceso electoral, únicamente se deberá registrar su participación en el más reciente, con el fin de evitar duplicidades.</t>
  </si>
  <si>
    <t>Entidad</t>
  </si>
  <si>
    <t>Distrito</t>
  </si>
  <si>
    <t>Cabecera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</si>
  <si>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</si>
  <si>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</si>
  <si>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</si>
  <si>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Total de personas contactadas</t>
  </si>
  <si>
    <t>Observaciones 
(en su caso)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</si>
  <si>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</si>
  <si>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</si>
  <si>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</si>
  <si>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</si>
  <si>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</si>
  <si>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A dos digitos</t>
  </si>
  <si>
    <t>15</t>
  </si>
  <si>
    <t>01</t>
  </si>
  <si>
    <t>Jilotepec de Andrés Molina Enriquez</t>
  </si>
  <si>
    <t>No aplica</t>
  </si>
  <si>
    <t>02</t>
  </si>
  <si>
    <t>Santa María Tultepec</t>
  </si>
  <si>
    <t>03</t>
  </si>
  <si>
    <t>Atlacomulco de Fabela</t>
  </si>
  <si>
    <t>04</t>
  </si>
  <si>
    <t>Ciudad Nicolas Romero y/o Centro Histórico San Pedro Azcapotzaltongo</t>
  </si>
  <si>
    <t>34 personas personas pertenecen a PEC 23-24 y PEE PJF</t>
  </si>
  <si>
    <t>05</t>
  </si>
  <si>
    <t>Teotihuacan de Arista</t>
  </si>
  <si>
    <t>06</t>
  </si>
  <si>
    <t>Coacalco de Berriozabal</t>
  </si>
  <si>
    <t>07</t>
  </si>
  <si>
    <t>Cuautitlán Izcalli</t>
  </si>
  <si>
    <t>08</t>
  </si>
  <si>
    <t>Tultitlan de Mariano Escobedo</t>
  </si>
  <si>
    <t>09</t>
  </si>
  <si>
    <t>San Felipe del Progreso</t>
  </si>
  <si>
    <t>10</t>
  </si>
  <si>
    <t>Ecatepec de Morelos</t>
  </si>
  <si>
    <t>11</t>
  </si>
  <si>
    <t>12</t>
  </si>
  <si>
    <t>Ixtapaluca</t>
  </si>
  <si>
    <t>13</t>
  </si>
  <si>
    <t>14</t>
  </si>
  <si>
    <t>Tepexpan</t>
  </si>
  <si>
    <t>Ciudad Adolfo López Mateos</t>
  </si>
  <si>
    <t>16</t>
  </si>
  <si>
    <t>El total de personas que concluyeron en el PEC 2023-2024 fueron 151. Se contactaron 149, porque dos personas fallecieron en 2025.</t>
  </si>
  <si>
    <t>17</t>
  </si>
  <si>
    <t>18</t>
  </si>
  <si>
    <t>Huixquilucan de Degollado</t>
  </si>
  <si>
    <t>19</t>
  </si>
  <si>
    <t>Tlalnepantla de Baz</t>
  </si>
  <si>
    <t>20</t>
  </si>
  <si>
    <t>Ojo de Agua</t>
  </si>
  <si>
    <t xml:space="preserve">El total de personas que concluyeron el PEC 2023-2024 fueron 116. Se contactaron </t>
  </si>
  <si>
    <t>21</t>
  </si>
  <si>
    <t>Amecameca de Juárez</t>
  </si>
  <si>
    <t>Adicionalmente, 15 del PEC 2023-2024 y 5 del PEEPJF 2024-2025, no se pudieron contactar.</t>
  </si>
  <si>
    <t>22</t>
  </si>
  <si>
    <t>Naucalpan de Juárez</t>
  </si>
  <si>
    <t>23</t>
  </si>
  <si>
    <t>Lerma de Villada</t>
  </si>
  <si>
    <t>24</t>
  </si>
  <si>
    <t>25</t>
  </si>
  <si>
    <t>Chimalhuacán</t>
  </si>
  <si>
    <t>89 interesadas programadas para entrevista</t>
  </si>
  <si>
    <t>26</t>
  </si>
  <si>
    <t>Toluca de Lerdo</t>
  </si>
  <si>
    <t>38 Figuras participarón en ambos PE</t>
  </si>
  <si>
    <t>27</t>
  </si>
  <si>
    <t>Metepec</t>
  </si>
  <si>
    <t>28</t>
  </si>
  <si>
    <t>Zumpango de Ocampo</t>
  </si>
  <si>
    <t>29</t>
  </si>
  <si>
    <t>Cd. Nezahualcóyotl</t>
  </si>
  <si>
    <t>30</t>
  </si>
  <si>
    <t>31</t>
  </si>
  <si>
    <t>32</t>
  </si>
  <si>
    <t>Valle de Chalco Solidaridad</t>
  </si>
  <si>
    <t>33</t>
  </si>
  <si>
    <t>Chalco de Diaz Covarrubias</t>
  </si>
  <si>
    <t>34</t>
  </si>
  <si>
    <t>35</t>
  </si>
  <si>
    <t>Tenancingo de Degollado</t>
  </si>
  <si>
    <t>36</t>
  </si>
  <si>
    <t>Tejupilco de Hidalgo</t>
  </si>
  <si>
    <t>37</t>
  </si>
  <si>
    <t>Teoloyucan</t>
  </si>
  <si>
    <t>38</t>
  </si>
  <si>
    <t>Texcoco de Mora</t>
  </si>
  <si>
    <t>39</t>
  </si>
  <si>
    <t>Los Reyes Acaquilpan</t>
  </si>
  <si>
    <t>40</t>
  </si>
  <si>
    <t>San Miguel Zinacantepec</t>
  </si>
  <si>
    <t xml:space="preserve">Total de Personas Contactadas </t>
  </si>
  <si>
    <t>Diferencia</t>
  </si>
  <si>
    <t>Sumatoria</t>
  </si>
  <si>
    <t xml:space="preserve">Sumatoria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</si>
</sst>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sz val="11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1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  <font>
      <sz val="8"/>
      <name val="Aptos Narrow"/>
      <family val="2"/>
      <scheme val="minor"/>
    </font>
    <font>
      <b/>
      <sz val="10"/>
      <color theme="1"/>
      <name val="Arial Narrow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center"/>
    </xf>
    <xf numFmtId="0" fontId="13" fillId="0" borderId="8" xfId="0" applyFont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19" fillId="4" borderId="0" xfId="0" applyFont="1" applyFill="1"/>
    <xf numFmtId="0" fontId="0" fillId="5" borderId="0" xfId="0" applyFill="1"/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 wrapText="1"/>
    </xf>
    <xf numFmtId="0" fontId="12" fillId="2" borderId="1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4" fillId="0" borderId="15" xfId="0" applyFont="1" applyBorder="1" applyAlignment="1">
      <alignment horizontal="left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52"/>
  <sheetViews>
    <sheetView showGridLines="0" tabSelected="1" topLeftCell="A5" zoomScale="85" zoomScaleNormal="85" workbookViewId="0">
      <pane xSplit="1" ySplit="8" topLeftCell="B13" activePane="bottomRight" state="frozen"/>
      <selection pane="topRight"/>
      <selection pane="bottomLeft"/>
      <selection pane="bottomRight" activeCell="Q16" sqref="Q16"/>
    </sheetView>
  </sheetViews>
  <sheetFormatPr baseColWidth="10" defaultColWidth="0" defaultRowHeight="15" x14ac:dyDescent="0.25"/>
  <cols>
    <col min="1" max="1" width="2.7109375" customWidth="1"/>
    <col min="2" max="2" width="11" customWidth="1"/>
    <col min="3" max="3" width="10.42578125" customWidth="1"/>
    <col min="4" max="4" width="34.7109375" customWidth="1"/>
    <col min="5" max="5" width="11.42578125" customWidth="1"/>
    <col min="6" max="6" width="13" customWidth="1"/>
    <col min="7" max="19" width="14.5703125" customWidth="1"/>
    <col min="20" max="20" width="18.5703125" customWidth="1"/>
    <col min="21" max="21" width="22.7109375" customWidth="1"/>
    <col min="22" max="22" width="2.7109375" customWidth="1"/>
    <col min="23" max="51" width="0" hidden="1" customWidth="1"/>
    <col min="52" max="16384" width="11.42578125" hidden="1"/>
  </cols>
  <sheetData>
    <row r="2" spans="2:22" s="2" customFormat="1" ht="25.5" x14ac:dyDescent="0.3">
      <c r="C2" s="23" t="s">
        <v>0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2:22" s="2" customFormat="1" ht="20.25" x14ac:dyDescent="0.3">
      <c r="C3" s="24" t="s">
        <v>1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2:22" s="2" customFormat="1" ht="20.25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2" s="2" customFormat="1" ht="27" x14ac:dyDescent="0.35">
      <c r="C5" s="38" t="s">
        <v>2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7"/>
      <c r="U5" s="7"/>
    </row>
    <row r="6" spans="2:22" s="2" customFormat="1" ht="25.5" x14ac:dyDescent="0.35">
      <c r="C6" s="39" t="s">
        <v>3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8"/>
      <c r="U6" s="8"/>
    </row>
    <row r="7" spans="2:22" s="2" customFormat="1" ht="16.5" x14ac:dyDescent="0.3">
      <c r="F7" s="34"/>
      <c r="G7" s="34"/>
      <c r="H7" s="6"/>
      <c r="I7" s="6"/>
    </row>
    <row r="8" spans="2:22" s="2" customFormat="1" ht="16.5" x14ac:dyDescent="0.3">
      <c r="B8" s="34" t="s">
        <v>4</v>
      </c>
      <c r="C8" s="34"/>
      <c r="D8" s="40">
        <v>46316</v>
      </c>
      <c r="E8" s="41"/>
      <c r="F8" s="41"/>
      <c r="G8" s="42"/>
    </row>
    <row r="9" spans="2:22" s="2" customFormat="1" ht="31.5" customHeight="1" thickBot="1" x14ac:dyDescent="0.35">
      <c r="B9" s="43" t="s">
        <v>5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</row>
    <row r="10" spans="2:22" s="2" customFormat="1" ht="30.75" customHeight="1" thickBot="1" x14ac:dyDescent="0.35">
      <c r="B10" s="25" t="s">
        <v>6</v>
      </c>
      <c r="C10" s="25" t="s">
        <v>7</v>
      </c>
      <c r="D10" s="37" t="s">
        <v>8</v>
      </c>
      <c r="E10" s="26" t="s">
        <v>9</v>
      </c>
      <c r="F10" s="27"/>
      <c r="G10" s="27"/>
      <c r="H10" s="27"/>
      <c r="I10" s="27"/>
      <c r="J10" s="28" t="s">
        <v>10</v>
      </c>
      <c r="K10" s="29"/>
      <c r="L10" s="29"/>
      <c r="M10" s="29"/>
      <c r="N10" s="29"/>
      <c r="O10" s="35" t="s">
        <v>11</v>
      </c>
      <c r="P10" s="27"/>
      <c r="Q10" s="27"/>
      <c r="R10" s="27"/>
      <c r="S10" s="36"/>
      <c r="T10" s="25" t="s">
        <v>12</v>
      </c>
      <c r="U10" s="25" t="s">
        <v>13</v>
      </c>
    </row>
    <row r="11" spans="2:22" s="2" customFormat="1" ht="32.25" customHeight="1" thickBot="1" x14ac:dyDescent="0.35">
      <c r="B11" s="25"/>
      <c r="C11" s="25"/>
      <c r="D11" s="37"/>
      <c r="E11" s="30" t="s">
        <v>14</v>
      </c>
      <c r="F11" s="30" t="s">
        <v>15</v>
      </c>
      <c r="G11" s="30" t="s">
        <v>16</v>
      </c>
      <c r="H11" s="30" t="s">
        <v>17</v>
      </c>
      <c r="I11" s="30" t="s">
        <v>18</v>
      </c>
      <c r="J11" s="32" t="s">
        <v>14</v>
      </c>
      <c r="K11" s="32" t="s">
        <v>15</v>
      </c>
      <c r="L11" s="32" t="s">
        <v>16</v>
      </c>
      <c r="M11" s="32" t="s">
        <v>17</v>
      </c>
      <c r="N11" s="32" t="s">
        <v>18</v>
      </c>
      <c r="O11" s="30" t="s">
        <v>14</v>
      </c>
      <c r="P11" s="30" t="s">
        <v>15</v>
      </c>
      <c r="Q11" s="30" t="s">
        <v>16</v>
      </c>
      <c r="R11" s="30" t="s">
        <v>17</v>
      </c>
      <c r="S11" s="44" t="s">
        <v>18</v>
      </c>
      <c r="T11" s="25"/>
      <c r="U11" s="25"/>
    </row>
    <row r="12" spans="2:22" s="3" customFormat="1" ht="12" customHeight="1" thickBot="1" x14ac:dyDescent="0.3">
      <c r="B12" s="10" t="s">
        <v>19</v>
      </c>
      <c r="C12" s="10" t="s">
        <v>19</v>
      </c>
      <c r="D12" s="37"/>
      <c r="E12" s="31"/>
      <c r="F12" s="31"/>
      <c r="G12" s="31"/>
      <c r="H12" s="31"/>
      <c r="I12" s="31"/>
      <c r="J12" s="33"/>
      <c r="K12" s="33"/>
      <c r="L12" s="33"/>
      <c r="M12" s="33"/>
      <c r="N12" s="33"/>
      <c r="O12" s="31"/>
      <c r="P12" s="31"/>
      <c r="Q12" s="31"/>
      <c r="R12" s="31"/>
      <c r="S12" s="45"/>
      <c r="T12" s="25"/>
      <c r="U12" s="25"/>
    </row>
    <row r="13" spans="2:22" s="5" customFormat="1" ht="14.45" customHeight="1" x14ac:dyDescent="0.3">
      <c r="B13" s="15" t="s">
        <v>20</v>
      </c>
      <c r="C13" s="15" t="s">
        <v>21</v>
      </c>
      <c r="D13" s="16" t="s">
        <v>22</v>
      </c>
      <c r="E13" s="17">
        <v>129</v>
      </c>
      <c r="F13" s="9">
        <v>93</v>
      </c>
      <c r="G13" s="9">
        <v>16</v>
      </c>
      <c r="H13" s="9">
        <v>20</v>
      </c>
      <c r="I13" s="11">
        <v>0</v>
      </c>
      <c r="J13" s="17">
        <v>56</v>
      </c>
      <c r="K13" s="9">
        <v>49</v>
      </c>
      <c r="L13" s="9">
        <v>3</v>
      </c>
      <c r="M13" s="9">
        <v>4</v>
      </c>
      <c r="N13" s="11">
        <v>0</v>
      </c>
      <c r="O13" s="17" t="s">
        <v>23</v>
      </c>
      <c r="P13" s="9" t="s">
        <v>23</v>
      </c>
      <c r="Q13" s="9" t="s">
        <v>23</v>
      </c>
      <c r="R13" s="9" t="s">
        <v>23</v>
      </c>
      <c r="S13" s="11" t="s">
        <v>23</v>
      </c>
      <c r="T13" s="14">
        <f>SUM(E13,J13,O13)</f>
        <v>185</v>
      </c>
      <c r="U13" s="13"/>
      <c r="V13" s="4"/>
    </row>
    <row r="14" spans="2:22" s="2" customFormat="1" ht="16.5" x14ac:dyDescent="0.3">
      <c r="B14" s="15" t="s">
        <v>20</v>
      </c>
      <c r="C14" s="15" t="s">
        <v>24</v>
      </c>
      <c r="D14" s="16" t="s">
        <v>25</v>
      </c>
      <c r="E14" s="12">
        <v>5</v>
      </c>
      <c r="F14" s="9">
        <v>2</v>
      </c>
      <c r="G14" s="9">
        <v>3</v>
      </c>
      <c r="H14" s="9">
        <v>0</v>
      </c>
      <c r="I14" s="11">
        <v>0</v>
      </c>
      <c r="J14" s="12">
        <v>135</v>
      </c>
      <c r="K14" s="9">
        <v>87</v>
      </c>
      <c r="L14" s="9">
        <v>28</v>
      </c>
      <c r="M14" s="9">
        <v>20</v>
      </c>
      <c r="N14" s="11">
        <v>0</v>
      </c>
      <c r="O14" s="12" t="s">
        <v>23</v>
      </c>
      <c r="P14" s="9" t="s">
        <v>23</v>
      </c>
      <c r="Q14" s="9" t="s">
        <v>23</v>
      </c>
      <c r="R14" s="9" t="s">
        <v>23</v>
      </c>
      <c r="S14" s="11" t="s">
        <v>23</v>
      </c>
      <c r="T14" s="14">
        <f t="shared" ref="T14:T52" si="0">SUM(E14,J14,O14)</f>
        <v>140</v>
      </c>
      <c r="U14" s="14"/>
    </row>
    <row r="15" spans="2:22" s="2" customFormat="1" ht="16.5" x14ac:dyDescent="0.3">
      <c r="B15" s="15" t="s">
        <v>20</v>
      </c>
      <c r="C15" s="15" t="s">
        <v>26</v>
      </c>
      <c r="D15" s="16" t="s">
        <v>27</v>
      </c>
      <c r="E15" s="12">
        <v>86</v>
      </c>
      <c r="F15" s="9">
        <v>46</v>
      </c>
      <c r="G15" s="9">
        <v>5</v>
      </c>
      <c r="H15" s="9">
        <v>35</v>
      </c>
      <c r="I15" s="11"/>
      <c r="J15" s="12">
        <v>63</v>
      </c>
      <c r="K15" s="9">
        <v>58</v>
      </c>
      <c r="L15" s="9">
        <v>0</v>
      </c>
      <c r="M15" s="9">
        <v>5</v>
      </c>
      <c r="N15" s="11"/>
      <c r="O15" s="12" t="s">
        <v>23</v>
      </c>
      <c r="P15" s="9" t="s">
        <v>23</v>
      </c>
      <c r="Q15" s="9" t="s">
        <v>23</v>
      </c>
      <c r="R15" s="9" t="s">
        <v>23</v>
      </c>
      <c r="S15" s="11" t="s">
        <v>23</v>
      </c>
      <c r="T15" s="14">
        <f t="shared" si="0"/>
        <v>149</v>
      </c>
      <c r="U15" s="14"/>
    </row>
    <row r="16" spans="2:22" s="2" customFormat="1" ht="49.5" x14ac:dyDescent="0.3">
      <c r="B16" s="15" t="s">
        <v>20</v>
      </c>
      <c r="C16" s="15" t="s">
        <v>28</v>
      </c>
      <c r="D16" s="16" t="s">
        <v>29</v>
      </c>
      <c r="E16" s="12">
        <v>138</v>
      </c>
      <c r="F16" s="9">
        <v>60</v>
      </c>
      <c r="G16" s="9">
        <v>9</v>
      </c>
      <c r="H16" s="9">
        <v>69</v>
      </c>
      <c r="I16" s="11">
        <v>0</v>
      </c>
      <c r="J16" s="12">
        <v>52</v>
      </c>
      <c r="K16" s="9">
        <v>34</v>
      </c>
      <c r="L16" s="9">
        <v>7</v>
      </c>
      <c r="M16" s="9">
        <v>11</v>
      </c>
      <c r="N16" s="11">
        <v>0</v>
      </c>
      <c r="O16" s="12" t="s">
        <v>23</v>
      </c>
      <c r="P16" s="9" t="s">
        <v>23</v>
      </c>
      <c r="Q16" s="9" t="s">
        <v>23</v>
      </c>
      <c r="R16" s="9" t="s">
        <v>23</v>
      </c>
      <c r="S16" s="11" t="s">
        <v>23</v>
      </c>
      <c r="T16" s="14">
        <f t="shared" si="0"/>
        <v>190</v>
      </c>
      <c r="U16" s="14" t="s">
        <v>30</v>
      </c>
    </row>
    <row r="17" spans="2:21" s="2" customFormat="1" ht="16.5" x14ac:dyDescent="0.3">
      <c r="B17" s="15" t="s">
        <v>20</v>
      </c>
      <c r="C17" s="15" t="s">
        <v>31</v>
      </c>
      <c r="D17" s="16" t="s">
        <v>32</v>
      </c>
      <c r="E17" s="12">
        <v>78</v>
      </c>
      <c r="F17" s="9">
        <v>43</v>
      </c>
      <c r="G17" s="9">
        <v>13</v>
      </c>
      <c r="H17" s="9">
        <v>22</v>
      </c>
      <c r="I17" s="11">
        <v>0</v>
      </c>
      <c r="J17" s="12">
        <v>53</v>
      </c>
      <c r="K17" s="9">
        <v>48</v>
      </c>
      <c r="L17" s="9">
        <v>2</v>
      </c>
      <c r="M17" s="9">
        <v>3</v>
      </c>
      <c r="N17" s="11">
        <v>0</v>
      </c>
      <c r="O17" s="12" t="s">
        <v>23</v>
      </c>
      <c r="P17" s="9" t="s">
        <v>23</v>
      </c>
      <c r="Q17" s="9" t="s">
        <v>23</v>
      </c>
      <c r="R17" s="9" t="s">
        <v>23</v>
      </c>
      <c r="S17" s="11" t="s">
        <v>23</v>
      </c>
      <c r="T17" s="14">
        <f t="shared" si="0"/>
        <v>131</v>
      </c>
      <c r="U17" s="14"/>
    </row>
    <row r="18" spans="2:21" s="2" customFormat="1" ht="16.5" x14ac:dyDescent="0.3">
      <c r="B18" s="15" t="s">
        <v>20</v>
      </c>
      <c r="C18" s="15" t="s">
        <v>33</v>
      </c>
      <c r="D18" s="16" t="s">
        <v>34</v>
      </c>
      <c r="E18" s="12">
        <v>91</v>
      </c>
      <c r="F18" s="9">
        <v>37</v>
      </c>
      <c r="G18" s="9">
        <v>11</v>
      </c>
      <c r="H18" s="9">
        <v>43</v>
      </c>
      <c r="I18" s="11">
        <v>0</v>
      </c>
      <c r="J18" s="12">
        <v>71</v>
      </c>
      <c r="K18" s="9">
        <v>64</v>
      </c>
      <c r="L18" s="9">
        <v>4</v>
      </c>
      <c r="M18" s="9">
        <v>3</v>
      </c>
      <c r="N18" s="11">
        <v>0</v>
      </c>
      <c r="O18" s="12" t="s">
        <v>23</v>
      </c>
      <c r="P18" s="9" t="s">
        <v>23</v>
      </c>
      <c r="Q18" s="9" t="s">
        <v>23</v>
      </c>
      <c r="R18" s="9" t="s">
        <v>23</v>
      </c>
      <c r="S18" s="11" t="s">
        <v>23</v>
      </c>
      <c r="T18" s="14">
        <f t="shared" si="0"/>
        <v>162</v>
      </c>
      <c r="U18" s="14"/>
    </row>
    <row r="19" spans="2:21" s="2" customFormat="1" ht="16.5" x14ac:dyDescent="0.3">
      <c r="B19" s="15" t="s">
        <v>20</v>
      </c>
      <c r="C19" s="15" t="s">
        <v>35</v>
      </c>
      <c r="D19" s="16" t="s">
        <v>36</v>
      </c>
      <c r="E19" s="12">
        <v>87</v>
      </c>
      <c r="F19" s="9">
        <v>60</v>
      </c>
      <c r="G19" s="9">
        <v>8</v>
      </c>
      <c r="H19" s="9">
        <v>19</v>
      </c>
      <c r="I19" s="11">
        <v>0</v>
      </c>
      <c r="J19" s="12">
        <v>44</v>
      </c>
      <c r="K19" s="9">
        <v>39</v>
      </c>
      <c r="L19" s="9">
        <v>1</v>
      </c>
      <c r="M19" s="9">
        <v>4</v>
      </c>
      <c r="N19" s="11">
        <v>0</v>
      </c>
      <c r="O19" s="12" t="s">
        <v>23</v>
      </c>
      <c r="P19" s="9" t="s">
        <v>23</v>
      </c>
      <c r="Q19" s="9" t="s">
        <v>23</v>
      </c>
      <c r="R19" s="9" t="s">
        <v>23</v>
      </c>
      <c r="S19" s="11" t="s">
        <v>23</v>
      </c>
      <c r="T19" s="14">
        <f t="shared" si="0"/>
        <v>131</v>
      </c>
      <c r="U19" s="14"/>
    </row>
    <row r="20" spans="2:21" s="2" customFormat="1" ht="16.5" x14ac:dyDescent="0.3">
      <c r="B20" s="15" t="s">
        <v>20</v>
      </c>
      <c r="C20" s="15" t="s">
        <v>37</v>
      </c>
      <c r="D20" s="16" t="s">
        <v>38</v>
      </c>
      <c r="E20" s="12">
        <v>78</v>
      </c>
      <c r="F20" s="9">
        <v>42</v>
      </c>
      <c r="G20" s="9">
        <v>14</v>
      </c>
      <c r="H20" s="9">
        <v>22</v>
      </c>
      <c r="I20" s="11">
        <v>0</v>
      </c>
      <c r="J20" s="12">
        <v>89</v>
      </c>
      <c r="K20" s="9">
        <v>74</v>
      </c>
      <c r="L20" s="9">
        <v>6</v>
      </c>
      <c r="M20" s="9">
        <v>9</v>
      </c>
      <c r="N20" s="11">
        <v>0</v>
      </c>
      <c r="O20" s="12" t="s">
        <v>23</v>
      </c>
      <c r="P20" s="9" t="s">
        <v>23</v>
      </c>
      <c r="Q20" s="9" t="s">
        <v>23</v>
      </c>
      <c r="R20" s="9" t="s">
        <v>23</v>
      </c>
      <c r="S20" s="11" t="s">
        <v>23</v>
      </c>
      <c r="T20" s="14">
        <f t="shared" si="0"/>
        <v>167</v>
      </c>
      <c r="U20" s="14"/>
    </row>
    <row r="21" spans="2:21" s="2" customFormat="1" ht="16.5" x14ac:dyDescent="0.3">
      <c r="B21" s="15" t="s">
        <v>20</v>
      </c>
      <c r="C21" s="15" t="s">
        <v>39</v>
      </c>
      <c r="D21" s="16" t="s">
        <v>40</v>
      </c>
      <c r="E21" s="12">
        <v>73</v>
      </c>
      <c r="F21" s="9">
        <v>29</v>
      </c>
      <c r="G21" s="9">
        <v>12</v>
      </c>
      <c r="H21" s="9">
        <v>32</v>
      </c>
      <c r="I21" s="11">
        <v>0</v>
      </c>
      <c r="J21" s="12">
        <v>42</v>
      </c>
      <c r="K21" s="9">
        <v>35</v>
      </c>
      <c r="L21" s="9">
        <v>0</v>
      </c>
      <c r="M21" s="9">
        <v>7</v>
      </c>
      <c r="N21" s="11">
        <v>0</v>
      </c>
      <c r="O21" s="12" t="s">
        <v>23</v>
      </c>
      <c r="P21" s="9" t="s">
        <v>23</v>
      </c>
      <c r="Q21" s="9" t="s">
        <v>23</v>
      </c>
      <c r="R21" s="9" t="s">
        <v>23</v>
      </c>
      <c r="S21" s="11" t="s">
        <v>23</v>
      </c>
      <c r="T21" s="14">
        <f t="shared" si="0"/>
        <v>115</v>
      </c>
      <c r="U21" s="14"/>
    </row>
    <row r="22" spans="2:21" s="2" customFormat="1" ht="16.5" x14ac:dyDescent="0.3">
      <c r="B22" s="15" t="s">
        <v>20</v>
      </c>
      <c r="C22" s="15" t="s">
        <v>41</v>
      </c>
      <c r="D22" s="16" t="s">
        <v>42</v>
      </c>
      <c r="E22" s="12">
        <v>81</v>
      </c>
      <c r="F22" s="9">
        <v>51</v>
      </c>
      <c r="G22" s="9">
        <v>17</v>
      </c>
      <c r="H22" s="9">
        <v>13</v>
      </c>
      <c r="I22" s="11">
        <v>0</v>
      </c>
      <c r="J22" s="12">
        <v>61</v>
      </c>
      <c r="K22" s="9">
        <v>56</v>
      </c>
      <c r="L22" s="9">
        <v>5</v>
      </c>
      <c r="M22" s="9">
        <v>0</v>
      </c>
      <c r="N22" s="11">
        <v>0</v>
      </c>
      <c r="O22" s="12" t="s">
        <v>23</v>
      </c>
      <c r="P22" s="9" t="s">
        <v>23</v>
      </c>
      <c r="Q22" s="9" t="s">
        <v>23</v>
      </c>
      <c r="R22" s="9" t="s">
        <v>23</v>
      </c>
      <c r="S22" s="11" t="s">
        <v>23</v>
      </c>
      <c r="T22" s="14">
        <f t="shared" si="0"/>
        <v>142</v>
      </c>
      <c r="U22" s="14"/>
    </row>
    <row r="23" spans="2:21" s="2" customFormat="1" ht="16.5" x14ac:dyDescent="0.3">
      <c r="B23" s="15" t="s">
        <v>20</v>
      </c>
      <c r="C23" s="15" t="s">
        <v>43</v>
      </c>
      <c r="D23" s="16" t="s">
        <v>42</v>
      </c>
      <c r="E23" s="12">
        <v>80</v>
      </c>
      <c r="F23" s="9">
        <v>12</v>
      </c>
      <c r="G23" s="9">
        <v>30</v>
      </c>
      <c r="H23" s="9">
        <v>38</v>
      </c>
      <c r="I23" s="11">
        <v>0</v>
      </c>
      <c r="J23" s="12">
        <v>68</v>
      </c>
      <c r="K23" s="9">
        <v>62</v>
      </c>
      <c r="L23" s="9">
        <v>4</v>
      </c>
      <c r="M23" s="9">
        <v>2</v>
      </c>
      <c r="N23" s="11">
        <v>0</v>
      </c>
      <c r="O23" s="12" t="s">
        <v>23</v>
      </c>
      <c r="P23" s="9" t="s">
        <v>23</v>
      </c>
      <c r="Q23" s="9" t="s">
        <v>23</v>
      </c>
      <c r="R23" s="9" t="s">
        <v>23</v>
      </c>
      <c r="S23" s="11" t="s">
        <v>23</v>
      </c>
      <c r="T23" s="14">
        <f t="shared" si="0"/>
        <v>148</v>
      </c>
      <c r="U23" s="14"/>
    </row>
    <row r="24" spans="2:21" s="2" customFormat="1" ht="16.5" x14ac:dyDescent="0.3">
      <c r="B24" s="15" t="s">
        <v>20</v>
      </c>
      <c r="C24" s="15" t="s">
        <v>44</v>
      </c>
      <c r="D24" s="16" t="s">
        <v>45</v>
      </c>
      <c r="E24" s="12">
        <v>65</v>
      </c>
      <c r="F24" s="9">
        <v>28</v>
      </c>
      <c r="G24" s="9">
        <v>15</v>
      </c>
      <c r="H24" s="9">
        <v>22</v>
      </c>
      <c r="I24" s="11">
        <v>0</v>
      </c>
      <c r="J24" s="12">
        <v>63</v>
      </c>
      <c r="K24" s="9">
        <v>52</v>
      </c>
      <c r="L24" s="9">
        <v>10</v>
      </c>
      <c r="M24" s="9">
        <v>1</v>
      </c>
      <c r="N24" s="11">
        <v>0</v>
      </c>
      <c r="O24" s="12" t="s">
        <v>23</v>
      </c>
      <c r="P24" s="9" t="s">
        <v>23</v>
      </c>
      <c r="Q24" s="9" t="s">
        <v>23</v>
      </c>
      <c r="R24" s="9" t="s">
        <v>23</v>
      </c>
      <c r="S24" s="11" t="s">
        <v>23</v>
      </c>
      <c r="T24" s="14">
        <f t="shared" si="0"/>
        <v>128</v>
      </c>
      <c r="U24" s="14"/>
    </row>
    <row r="25" spans="2:21" ht="16.5" x14ac:dyDescent="0.25">
      <c r="B25" s="15" t="s">
        <v>20</v>
      </c>
      <c r="C25" s="15" t="s">
        <v>46</v>
      </c>
      <c r="D25" s="16" t="s">
        <v>42</v>
      </c>
      <c r="E25" s="12">
        <v>121</v>
      </c>
      <c r="F25" s="9">
        <v>55</v>
      </c>
      <c r="G25" s="9">
        <v>20</v>
      </c>
      <c r="H25" s="9">
        <v>46</v>
      </c>
      <c r="I25" s="11">
        <v>0</v>
      </c>
      <c r="J25" s="12">
        <v>80</v>
      </c>
      <c r="K25" s="9">
        <v>72</v>
      </c>
      <c r="L25" s="9">
        <v>3</v>
      </c>
      <c r="M25" s="9">
        <v>5</v>
      </c>
      <c r="N25" s="11">
        <v>0</v>
      </c>
      <c r="O25" s="12" t="s">
        <v>23</v>
      </c>
      <c r="P25" s="9" t="s">
        <v>23</v>
      </c>
      <c r="Q25" s="9" t="s">
        <v>23</v>
      </c>
      <c r="R25" s="9" t="s">
        <v>23</v>
      </c>
      <c r="S25" s="11" t="s">
        <v>23</v>
      </c>
      <c r="T25" s="14">
        <f t="shared" si="0"/>
        <v>201</v>
      </c>
      <c r="U25" s="14"/>
    </row>
    <row r="26" spans="2:21" ht="16.5" x14ac:dyDescent="0.25">
      <c r="B26" s="15" t="s">
        <v>20</v>
      </c>
      <c r="C26" s="15" t="s">
        <v>47</v>
      </c>
      <c r="D26" s="16" t="s">
        <v>48</v>
      </c>
      <c r="E26" s="12">
        <v>122</v>
      </c>
      <c r="F26" s="9">
        <v>64</v>
      </c>
      <c r="G26" s="9">
        <v>26</v>
      </c>
      <c r="H26" s="9">
        <v>32</v>
      </c>
      <c r="I26" s="11">
        <v>0</v>
      </c>
      <c r="J26" s="12">
        <v>7</v>
      </c>
      <c r="K26" s="9">
        <v>4</v>
      </c>
      <c r="L26" s="9">
        <v>2</v>
      </c>
      <c r="M26" s="9">
        <v>1</v>
      </c>
      <c r="N26" s="11">
        <v>0</v>
      </c>
      <c r="O26" s="12" t="s">
        <v>23</v>
      </c>
      <c r="P26" s="9" t="s">
        <v>23</v>
      </c>
      <c r="Q26" s="9" t="s">
        <v>23</v>
      </c>
      <c r="R26" s="9" t="s">
        <v>23</v>
      </c>
      <c r="S26" s="11" t="s">
        <v>23</v>
      </c>
      <c r="T26" s="14">
        <f t="shared" si="0"/>
        <v>129</v>
      </c>
      <c r="U26" s="14"/>
    </row>
    <row r="27" spans="2:21" ht="16.5" x14ac:dyDescent="0.25">
      <c r="B27" s="15" t="s">
        <v>20</v>
      </c>
      <c r="C27" s="15" t="s">
        <v>20</v>
      </c>
      <c r="D27" s="16" t="s">
        <v>49</v>
      </c>
      <c r="E27" s="12">
        <v>70</v>
      </c>
      <c r="F27" s="9">
        <v>29</v>
      </c>
      <c r="G27" s="9">
        <v>10</v>
      </c>
      <c r="H27" s="9">
        <v>31</v>
      </c>
      <c r="I27" s="11">
        <v>0</v>
      </c>
      <c r="J27" s="12">
        <v>66</v>
      </c>
      <c r="K27" s="9">
        <v>50</v>
      </c>
      <c r="L27" s="9">
        <v>7</v>
      </c>
      <c r="M27" s="9">
        <v>9</v>
      </c>
      <c r="N27" s="11">
        <v>0</v>
      </c>
      <c r="O27" s="12" t="s">
        <v>23</v>
      </c>
      <c r="P27" s="9" t="s">
        <v>23</v>
      </c>
      <c r="Q27" s="9" t="s">
        <v>23</v>
      </c>
      <c r="R27" s="9" t="s">
        <v>23</v>
      </c>
      <c r="S27" s="11" t="s">
        <v>23</v>
      </c>
      <c r="T27" s="14">
        <f t="shared" si="0"/>
        <v>136</v>
      </c>
      <c r="U27" s="14"/>
    </row>
    <row r="28" spans="2:21" ht="99" x14ac:dyDescent="0.25">
      <c r="B28" s="15" t="s">
        <v>20</v>
      </c>
      <c r="C28" s="15" t="s">
        <v>50</v>
      </c>
      <c r="D28" s="16" t="s">
        <v>42</v>
      </c>
      <c r="E28" s="12">
        <v>86</v>
      </c>
      <c r="F28" s="9">
        <v>53</v>
      </c>
      <c r="G28" s="9">
        <v>11</v>
      </c>
      <c r="H28" s="9">
        <v>22</v>
      </c>
      <c r="I28" s="11">
        <v>0</v>
      </c>
      <c r="J28" s="12">
        <v>63</v>
      </c>
      <c r="K28" s="9">
        <v>61</v>
      </c>
      <c r="L28" s="9">
        <v>2</v>
      </c>
      <c r="M28" s="9">
        <v>0</v>
      </c>
      <c r="N28" s="11">
        <v>0</v>
      </c>
      <c r="O28" s="12" t="s">
        <v>23</v>
      </c>
      <c r="P28" s="9" t="s">
        <v>23</v>
      </c>
      <c r="Q28" s="9" t="s">
        <v>23</v>
      </c>
      <c r="R28" s="9" t="s">
        <v>23</v>
      </c>
      <c r="S28" s="11" t="s">
        <v>23</v>
      </c>
      <c r="T28" s="14">
        <f t="shared" si="0"/>
        <v>149</v>
      </c>
      <c r="U28" s="14" t="s">
        <v>51</v>
      </c>
    </row>
    <row r="29" spans="2:21" ht="16.5" x14ac:dyDescent="0.25">
      <c r="B29" s="15" t="s">
        <v>20</v>
      </c>
      <c r="C29" s="15" t="s">
        <v>52</v>
      </c>
      <c r="D29" s="16" t="s">
        <v>42</v>
      </c>
      <c r="E29" s="12">
        <v>127</v>
      </c>
      <c r="F29" s="9">
        <v>89</v>
      </c>
      <c r="G29" s="9">
        <v>22</v>
      </c>
      <c r="H29" s="9">
        <v>16</v>
      </c>
      <c r="I29" s="11">
        <v>0</v>
      </c>
      <c r="J29" s="12">
        <v>57</v>
      </c>
      <c r="K29" s="9">
        <v>51</v>
      </c>
      <c r="L29" s="9">
        <v>6</v>
      </c>
      <c r="M29" s="9">
        <v>0</v>
      </c>
      <c r="N29" s="11">
        <v>0</v>
      </c>
      <c r="O29" s="12" t="s">
        <v>23</v>
      </c>
      <c r="P29" s="9" t="s">
        <v>23</v>
      </c>
      <c r="Q29" s="9" t="s">
        <v>23</v>
      </c>
      <c r="R29" s="9" t="s">
        <v>23</v>
      </c>
      <c r="S29" s="11" t="s">
        <v>23</v>
      </c>
      <c r="T29" s="14">
        <f t="shared" si="0"/>
        <v>184</v>
      </c>
      <c r="U29" s="14"/>
    </row>
    <row r="30" spans="2:21" ht="16.5" x14ac:dyDescent="0.25">
      <c r="B30" s="15" t="s">
        <v>20</v>
      </c>
      <c r="C30" s="15" t="s">
        <v>53</v>
      </c>
      <c r="D30" s="16" t="s">
        <v>54</v>
      </c>
      <c r="E30" s="12">
        <v>95</v>
      </c>
      <c r="F30" s="9">
        <v>31</v>
      </c>
      <c r="G30" s="9">
        <v>17</v>
      </c>
      <c r="H30" s="9">
        <v>47</v>
      </c>
      <c r="I30" s="11">
        <v>0</v>
      </c>
      <c r="J30" s="12">
        <v>71</v>
      </c>
      <c r="K30" s="9">
        <v>62</v>
      </c>
      <c r="L30" s="9">
        <v>3</v>
      </c>
      <c r="M30" s="9">
        <v>6</v>
      </c>
      <c r="N30" s="11">
        <v>0</v>
      </c>
      <c r="O30" s="12" t="s">
        <v>23</v>
      </c>
      <c r="P30" s="9" t="s">
        <v>23</v>
      </c>
      <c r="Q30" s="9" t="s">
        <v>23</v>
      </c>
      <c r="R30" s="9" t="s">
        <v>23</v>
      </c>
      <c r="S30" s="11" t="s">
        <v>23</v>
      </c>
      <c r="T30" s="14">
        <f t="shared" si="0"/>
        <v>166</v>
      </c>
      <c r="U30" s="14"/>
    </row>
    <row r="31" spans="2:21" ht="16.5" x14ac:dyDescent="0.25">
      <c r="B31" s="15" t="s">
        <v>20</v>
      </c>
      <c r="C31" s="15" t="s">
        <v>55</v>
      </c>
      <c r="D31" s="16" t="s">
        <v>56</v>
      </c>
      <c r="E31" s="12">
        <v>99</v>
      </c>
      <c r="F31" s="9">
        <v>23</v>
      </c>
      <c r="G31" s="9">
        <v>11</v>
      </c>
      <c r="H31" s="9">
        <v>65</v>
      </c>
      <c r="I31" s="11">
        <v>0</v>
      </c>
      <c r="J31" s="12">
        <v>94</v>
      </c>
      <c r="K31" s="9">
        <v>73</v>
      </c>
      <c r="L31" s="9">
        <v>2</v>
      </c>
      <c r="M31" s="9">
        <v>19</v>
      </c>
      <c r="N31" s="11">
        <v>0</v>
      </c>
      <c r="O31" s="12" t="s">
        <v>23</v>
      </c>
      <c r="P31" s="9" t="s">
        <v>23</v>
      </c>
      <c r="Q31" s="9" t="s">
        <v>23</v>
      </c>
      <c r="R31" s="9" t="s">
        <v>23</v>
      </c>
      <c r="S31" s="11" t="s">
        <v>23</v>
      </c>
      <c r="T31" s="14">
        <f t="shared" si="0"/>
        <v>193</v>
      </c>
      <c r="U31" s="14"/>
    </row>
    <row r="32" spans="2:21" ht="66" x14ac:dyDescent="0.25">
      <c r="B32" s="15" t="s">
        <v>20</v>
      </c>
      <c r="C32" s="15" t="s">
        <v>57</v>
      </c>
      <c r="D32" s="16" t="s">
        <v>58</v>
      </c>
      <c r="E32" s="12">
        <v>56</v>
      </c>
      <c r="F32" s="9">
        <v>34</v>
      </c>
      <c r="G32" s="9">
        <v>9</v>
      </c>
      <c r="H32" s="9">
        <v>13</v>
      </c>
      <c r="I32" s="11">
        <v>0</v>
      </c>
      <c r="J32" s="12">
        <v>60</v>
      </c>
      <c r="K32" s="9">
        <v>53</v>
      </c>
      <c r="L32" s="9">
        <v>7</v>
      </c>
      <c r="M32" s="9">
        <v>0</v>
      </c>
      <c r="N32" s="11">
        <v>0</v>
      </c>
      <c r="O32" s="12" t="s">
        <v>23</v>
      </c>
      <c r="P32" s="9" t="s">
        <v>23</v>
      </c>
      <c r="Q32" s="9" t="s">
        <v>23</v>
      </c>
      <c r="R32" s="9" t="s">
        <v>23</v>
      </c>
      <c r="S32" s="11" t="s">
        <v>23</v>
      </c>
      <c r="T32" s="14">
        <f t="shared" si="0"/>
        <v>116</v>
      </c>
      <c r="U32" s="14" t="s">
        <v>59</v>
      </c>
    </row>
    <row r="33" spans="2:21" ht="66" x14ac:dyDescent="0.25">
      <c r="B33" s="15" t="s">
        <v>20</v>
      </c>
      <c r="C33" s="15" t="s">
        <v>60</v>
      </c>
      <c r="D33" s="16" t="s">
        <v>61</v>
      </c>
      <c r="E33" s="12">
        <v>67</v>
      </c>
      <c r="F33" s="9">
        <v>50</v>
      </c>
      <c r="G33" s="9">
        <v>17</v>
      </c>
      <c r="H33" s="9">
        <v>0</v>
      </c>
      <c r="I33" s="11">
        <v>0</v>
      </c>
      <c r="J33" s="12">
        <v>64</v>
      </c>
      <c r="K33" s="9">
        <v>54</v>
      </c>
      <c r="L33" s="9">
        <v>10</v>
      </c>
      <c r="M33" s="9">
        <v>0</v>
      </c>
      <c r="N33" s="11">
        <v>0</v>
      </c>
      <c r="O33" s="12" t="s">
        <v>23</v>
      </c>
      <c r="P33" s="9" t="s">
        <v>23</v>
      </c>
      <c r="Q33" s="9" t="s">
        <v>23</v>
      </c>
      <c r="R33" s="9" t="s">
        <v>23</v>
      </c>
      <c r="S33" s="11" t="s">
        <v>23</v>
      </c>
      <c r="T33" s="14">
        <f t="shared" si="0"/>
        <v>131</v>
      </c>
      <c r="U33" s="14" t="s">
        <v>62</v>
      </c>
    </row>
    <row r="34" spans="2:21" ht="16.5" x14ac:dyDescent="0.25">
      <c r="B34" s="15" t="s">
        <v>20</v>
      </c>
      <c r="C34" s="15" t="s">
        <v>63</v>
      </c>
      <c r="D34" s="16" t="s">
        <v>64</v>
      </c>
      <c r="E34" s="12">
        <v>90</v>
      </c>
      <c r="F34" s="9">
        <v>40</v>
      </c>
      <c r="G34" s="9">
        <v>19</v>
      </c>
      <c r="H34" s="9">
        <v>31</v>
      </c>
      <c r="I34" s="11">
        <v>0</v>
      </c>
      <c r="J34" s="12">
        <v>82</v>
      </c>
      <c r="K34" s="9">
        <v>72</v>
      </c>
      <c r="L34" s="9">
        <v>7</v>
      </c>
      <c r="M34" s="9">
        <v>3</v>
      </c>
      <c r="N34" s="11">
        <v>0</v>
      </c>
      <c r="O34" s="12" t="s">
        <v>23</v>
      </c>
      <c r="P34" s="9" t="s">
        <v>23</v>
      </c>
      <c r="Q34" s="9" t="s">
        <v>23</v>
      </c>
      <c r="R34" s="9" t="s">
        <v>23</v>
      </c>
      <c r="S34" s="11" t="s">
        <v>23</v>
      </c>
      <c r="T34" s="14">
        <f t="shared" si="0"/>
        <v>172</v>
      </c>
      <c r="U34" s="14"/>
    </row>
    <row r="35" spans="2:21" ht="16.5" x14ac:dyDescent="0.25">
      <c r="B35" s="15" t="s">
        <v>20</v>
      </c>
      <c r="C35" s="15" t="s">
        <v>65</v>
      </c>
      <c r="D35" s="16" t="s">
        <v>66</v>
      </c>
      <c r="E35" s="12">
        <v>57</v>
      </c>
      <c r="F35" s="9">
        <v>29</v>
      </c>
      <c r="G35" s="9">
        <v>18</v>
      </c>
      <c r="H35" s="9">
        <v>10</v>
      </c>
      <c r="I35" s="11">
        <v>0</v>
      </c>
      <c r="J35" s="12">
        <v>44</v>
      </c>
      <c r="K35" s="9">
        <v>39</v>
      </c>
      <c r="L35" s="9">
        <v>4</v>
      </c>
      <c r="M35" s="9">
        <v>1</v>
      </c>
      <c r="N35" s="11">
        <v>0</v>
      </c>
      <c r="O35" s="12" t="s">
        <v>23</v>
      </c>
      <c r="P35" s="9" t="s">
        <v>23</v>
      </c>
      <c r="Q35" s="9" t="s">
        <v>23</v>
      </c>
      <c r="R35" s="9" t="s">
        <v>23</v>
      </c>
      <c r="S35" s="11" t="s">
        <v>23</v>
      </c>
      <c r="T35" s="14">
        <f t="shared" si="0"/>
        <v>101</v>
      </c>
      <c r="U35" s="14"/>
    </row>
    <row r="36" spans="2:21" ht="16.5" x14ac:dyDescent="0.25">
      <c r="B36" s="15" t="s">
        <v>20</v>
      </c>
      <c r="C36" s="15" t="s">
        <v>67</v>
      </c>
      <c r="D36" s="16" t="s">
        <v>64</v>
      </c>
      <c r="E36" s="12">
        <v>69</v>
      </c>
      <c r="F36" s="9">
        <v>44</v>
      </c>
      <c r="G36" s="9">
        <v>16</v>
      </c>
      <c r="H36" s="9">
        <v>9</v>
      </c>
      <c r="I36" s="11">
        <v>0</v>
      </c>
      <c r="J36" s="12">
        <v>85</v>
      </c>
      <c r="K36" s="9">
        <v>70</v>
      </c>
      <c r="L36" s="9">
        <v>15</v>
      </c>
      <c r="M36" s="9">
        <v>0</v>
      </c>
      <c r="N36" s="11">
        <v>0</v>
      </c>
      <c r="O36" s="12" t="s">
        <v>23</v>
      </c>
      <c r="P36" s="9" t="s">
        <v>23</v>
      </c>
      <c r="Q36" s="9" t="s">
        <v>23</v>
      </c>
      <c r="R36" s="9" t="s">
        <v>23</v>
      </c>
      <c r="S36" s="11" t="s">
        <v>23</v>
      </c>
      <c r="T36" s="14">
        <f t="shared" si="0"/>
        <v>154</v>
      </c>
      <c r="U36" s="14"/>
    </row>
    <row r="37" spans="2:21" ht="49.5" x14ac:dyDescent="0.25">
      <c r="B37" s="15" t="s">
        <v>20</v>
      </c>
      <c r="C37" s="15" t="s">
        <v>68</v>
      </c>
      <c r="D37" s="16" t="s">
        <v>69</v>
      </c>
      <c r="E37" s="12">
        <v>74</v>
      </c>
      <c r="F37" s="9">
        <v>41</v>
      </c>
      <c r="G37" s="9">
        <v>12</v>
      </c>
      <c r="H37" s="9">
        <v>21</v>
      </c>
      <c r="I37" s="11">
        <v>0</v>
      </c>
      <c r="J37" s="12">
        <v>55</v>
      </c>
      <c r="K37" s="9">
        <v>48</v>
      </c>
      <c r="L37" s="9">
        <v>7</v>
      </c>
      <c r="M37" s="9">
        <v>0</v>
      </c>
      <c r="N37" s="11">
        <v>0</v>
      </c>
      <c r="O37" s="12" t="s">
        <v>23</v>
      </c>
      <c r="P37" s="9" t="s">
        <v>23</v>
      </c>
      <c r="Q37" s="9" t="s">
        <v>23</v>
      </c>
      <c r="R37" s="9" t="s">
        <v>23</v>
      </c>
      <c r="S37" s="11" t="s">
        <v>23</v>
      </c>
      <c r="T37" s="14">
        <f t="shared" si="0"/>
        <v>129</v>
      </c>
      <c r="U37" s="14" t="s">
        <v>70</v>
      </c>
    </row>
    <row r="38" spans="2:21" ht="33" x14ac:dyDescent="0.25">
      <c r="B38" s="15" t="s">
        <v>20</v>
      </c>
      <c r="C38" s="15" t="s">
        <v>71</v>
      </c>
      <c r="D38" s="16" t="s">
        <v>72</v>
      </c>
      <c r="E38" s="12">
        <v>92</v>
      </c>
      <c r="F38" s="9">
        <v>42</v>
      </c>
      <c r="G38" s="9">
        <v>16</v>
      </c>
      <c r="H38" s="9">
        <v>34</v>
      </c>
      <c r="I38" s="11">
        <v>0</v>
      </c>
      <c r="J38" s="12">
        <v>68</v>
      </c>
      <c r="K38" s="9">
        <v>50</v>
      </c>
      <c r="L38" s="9">
        <v>4</v>
      </c>
      <c r="M38" s="9">
        <v>14</v>
      </c>
      <c r="N38" s="11"/>
      <c r="O38" s="12" t="s">
        <v>23</v>
      </c>
      <c r="P38" s="9" t="s">
        <v>23</v>
      </c>
      <c r="Q38" s="9" t="s">
        <v>23</v>
      </c>
      <c r="R38" s="9" t="s">
        <v>23</v>
      </c>
      <c r="S38" s="11" t="s">
        <v>23</v>
      </c>
      <c r="T38" s="14">
        <f t="shared" si="0"/>
        <v>160</v>
      </c>
      <c r="U38" s="14" t="s">
        <v>73</v>
      </c>
    </row>
    <row r="39" spans="2:21" ht="16.5" x14ac:dyDescent="0.25">
      <c r="B39" s="15" t="s">
        <v>20</v>
      </c>
      <c r="C39" s="15" t="s">
        <v>74</v>
      </c>
      <c r="D39" s="16" t="s">
        <v>75</v>
      </c>
      <c r="E39" s="12">
        <v>94</v>
      </c>
      <c r="F39" s="9">
        <v>50</v>
      </c>
      <c r="G39" s="9">
        <v>25</v>
      </c>
      <c r="H39" s="9">
        <v>19</v>
      </c>
      <c r="I39" s="11">
        <v>0</v>
      </c>
      <c r="J39" s="12">
        <v>54</v>
      </c>
      <c r="K39" s="9">
        <v>47</v>
      </c>
      <c r="L39" s="9">
        <v>6</v>
      </c>
      <c r="M39" s="9">
        <v>1</v>
      </c>
      <c r="N39" s="11">
        <v>0</v>
      </c>
      <c r="O39" s="12" t="s">
        <v>23</v>
      </c>
      <c r="P39" s="9" t="s">
        <v>23</v>
      </c>
      <c r="Q39" s="9" t="s">
        <v>23</v>
      </c>
      <c r="R39" s="9" t="s">
        <v>23</v>
      </c>
      <c r="S39" s="11" t="s">
        <v>23</v>
      </c>
      <c r="T39" s="14">
        <f t="shared" si="0"/>
        <v>148</v>
      </c>
      <c r="U39" s="14"/>
    </row>
    <row r="40" spans="2:21" ht="16.5" x14ac:dyDescent="0.25">
      <c r="B40" s="15" t="s">
        <v>20</v>
      </c>
      <c r="C40" s="15" t="s">
        <v>76</v>
      </c>
      <c r="D40" s="16" t="s">
        <v>77</v>
      </c>
      <c r="E40" s="12">
        <v>60</v>
      </c>
      <c r="F40" s="9">
        <v>26</v>
      </c>
      <c r="G40" s="9">
        <v>18</v>
      </c>
      <c r="H40" s="9">
        <v>16</v>
      </c>
      <c r="I40" s="11">
        <v>0</v>
      </c>
      <c r="J40" s="12">
        <v>55</v>
      </c>
      <c r="K40" s="9">
        <v>45</v>
      </c>
      <c r="L40" s="9">
        <v>8</v>
      </c>
      <c r="M40" s="9">
        <v>2</v>
      </c>
      <c r="N40" s="11">
        <v>0</v>
      </c>
      <c r="O40" s="12" t="s">
        <v>23</v>
      </c>
      <c r="P40" s="9" t="s">
        <v>23</v>
      </c>
      <c r="Q40" s="9" t="s">
        <v>23</v>
      </c>
      <c r="R40" s="9" t="s">
        <v>23</v>
      </c>
      <c r="S40" s="11" t="s">
        <v>23</v>
      </c>
      <c r="T40" s="14">
        <f t="shared" si="0"/>
        <v>115</v>
      </c>
      <c r="U40" s="14"/>
    </row>
    <row r="41" spans="2:21" ht="16.5" x14ac:dyDescent="0.25">
      <c r="B41" s="15" t="s">
        <v>20</v>
      </c>
      <c r="C41" s="15" t="s">
        <v>78</v>
      </c>
      <c r="D41" s="16" t="s">
        <v>79</v>
      </c>
      <c r="E41" s="12">
        <v>105</v>
      </c>
      <c r="F41" s="9">
        <v>28</v>
      </c>
      <c r="G41" s="9">
        <v>0</v>
      </c>
      <c r="H41" s="9">
        <v>77</v>
      </c>
      <c r="I41" s="11">
        <v>0</v>
      </c>
      <c r="J41" s="12">
        <v>67</v>
      </c>
      <c r="K41" s="9">
        <v>67</v>
      </c>
      <c r="L41" s="9">
        <v>0</v>
      </c>
      <c r="M41" s="9">
        <v>0</v>
      </c>
      <c r="N41" s="11">
        <v>0</v>
      </c>
      <c r="O41" s="12" t="s">
        <v>23</v>
      </c>
      <c r="P41" s="9" t="s">
        <v>23</v>
      </c>
      <c r="Q41" s="9" t="s">
        <v>23</v>
      </c>
      <c r="R41" s="9" t="s">
        <v>23</v>
      </c>
      <c r="S41" s="11" t="s">
        <v>23</v>
      </c>
      <c r="T41" s="14">
        <f t="shared" si="0"/>
        <v>172</v>
      </c>
      <c r="U41" s="14"/>
    </row>
    <row r="42" spans="2:21" ht="16.5" x14ac:dyDescent="0.25">
      <c r="B42" s="15" t="s">
        <v>20</v>
      </c>
      <c r="C42" s="15" t="s">
        <v>80</v>
      </c>
      <c r="D42" s="16" t="s">
        <v>69</v>
      </c>
      <c r="E42" s="12">
        <v>72</v>
      </c>
      <c r="F42" s="9">
        <v>49</v>
      </c>
      <c r="G42" s="9">
        <v>13</v>
      </c>
      <c r="H42" s="9">
        <v>10</v>
      </c>
      <c r="I42" s="11">
        <v>0</v>
      </c>
      <c r="J42" s="12">
        <v>55</v>
      </c>
      <c r="K42" s="9">
        <v>45</v>
      </c>
      <c r="L42" s="9">
        <v>10</v>
      </c>
      <c r="M42" s="9">
        <v>0</v>
      </c>
      <c r="N42" s="11">
        <v>0</v>
      </c>
      <c r="O42" s="12" t="s">
        <v>23</v>
      </c>
      <c r="P42" s="9" t="s">
        <v>23</v>
      </c>
      <c r="Q42" s="9" t="s">
        <v>23</v>
      </c>
      <c r="R42" s="9" t="s">
        <v>23</v>
      </c>
      <c r="S42" s="11" t="s">
        <v>23</v>
      </c>
      <c r="T42" s="14">
        <f t="shared" si="0"/>
        <v>127</v>
      </c>
      <c r="U42" s="14"/>
    </row>
    <row r="43" spans="2:21" ht="16.5" x14ac:dyDescent="0.25">
      <c r="B43" s="15" t="s">
        <v>20</v>
      </c>
      <c r="C43" s="15" t="s">
        <v>81</v>
      </c>
      <c r="D43" s="16" t="s">
        <v>79</v>
      </c>
      <c r="E43" s="12">
        <v>105</v>
      </c>
      <c r="F43" s="9">
        <v>59</v>
      </c>
      <c r="G43" s="9">
        <v>22</v>
      </c>
      <c r="H43" s="9">
        <v>24</v>
      </c>
      <c r="I43" s="11">
        <v>0</v>
      </c>
      <c r="J43" s="12">
        <v>82</v>
      </c>
      <c r="K43" s="9">
        <v>62</v>
      </c>
      <c r="L43" s="9">
        <v>4</v>
      </c>
      <c r="M43" s="9">
        <v>16</v>
      </c>
      <c r="N43" s="11">
        <v>0</v>
      </c>
      <c r="O43" s="12" t="s">
        <v>23</v>
      </c>
      <c r="P43" s="9" t="s">
        <v>23</v>
      </c>
      <c r="Q43" s="9" t="s">
        <v>23</v>
      </c>
      <c r="R43" s="9" t="s">
        <v>23</v>
      </c>
      <c r="S43" s="11" t="s">
        <v>23</v>
      </c>
      <c r="T43" s="14">
        <f t="shared" si="0"/>
        <v>187</v>
      </c>
      <c r="U43" s="14"/>
    </row>
    <row r="44" spans="2:21" ht="16.5" x14ac:dyDescent="0.25">
      <c r="B44" s="15" t="s">
        <v>20</v>
      </c>
      <c r="C44" s="15" t="s">
        <v>82</v>
      </c>
      <c r="D44" s="16" t="s">
        <v>83</v>
      </c>
      <c r="E44" s="12">
        <v>106</v>
      </c>
      <c r="F44" s="9">
        <v>81</v>
      </c>
      <c r="G44" s="9">
        <v>20</v>
      </c>
      <c r="H44" s="9">
        <v>5</v>
      </c>
      <c r="I44" s="11">
        <v>0</v>
      </c>
      <c r="J44" s="12">
        <v>20</v>
      </c>
      <c r="K44" s="9">
        <v>11</v>
      </c>
      <c r="L44" s="9">
        <v>9</v>
      </c>
      <c r="M44" s="9">
        <v>0</v>
      </c>
      <c r="N44" s="11">
        <v>0</v>
      </c>
      <c r="O44" s="12" t="s">
        <v>23</v>
      </c>
      <c r="P44" s="9" t="s">
        <v>23</v>
      </c>
      <c r="Q44" s="9" t="s">
        <v>23</v>
      </c>
      <c r="R44" s="9" t="s">
        <v>23</v>
      </c>
      <c r="S44" s="11" t="s">
        <v>23</v>
      </c>
      <c r="T44" s="14">
        <f t="shared" si="0"/>
        <v>126</v>
      </c>
      <c r="U44" s="14"/>
    </row>
    <row r="45" spans="2:21" ht="16.5" x14ac:dyDescent="0.25">
      <c r="B45" s="15" t="s">
        <v>20</v>
      </c>
      <c r="C45" s="15" t="s">
        <v>84</v>
      </c>
      <c r="D45" s="16" t="s">
        <v>85</v>
      </c>
      <c r="E45" s="12">
        <v>47</v>
      </c>
      <c r="F45" s="9">
        <v>26</v>
      </c>
      <c r="G45" s="9">
        <v>17</v>
      </c>
      <c r="H45" s="9">
        <v>4</v>
      </c>
      <c r="I45" s="11">
        <v>0</v>
      </c>
      <c r="J45" s="12">
        <v>43</v>
      </c>
      <c r="K45" s="9">
        <v>39</v>
      </c>
      <c r="L45" s="9">
        <v>4</v>
      </c>
      <c r="M45" s="9">
        <v>0</v>
      </c>
      <c r="N45" s="11">
        <v>0</v>
      </c>
      <c r="O45" s="12" t="s">
        <v>23</v>
      </c>
      <c r="P45" s="9" t="s">
        <v>23</v>
      </c>
      <c r="Q45" s="9" t="s">
        <v>23</v>
      </c>
      <c r="R45" s="9" t="s">
        <v>23</v>
      </c>
      <c r="S45" s="11" t="s">
        <v>23</v>
      </c>
      <c r="T45" s="14">
        <f t="shared" si="0"/>
        <v>90</v>
      </c>
      <c r="U45" s="14"/>
    </row>
    <row r="46" spans="2:21" ht="16.5" x14ac:dyDescent="0.25">
      <c r="B46" s="15" t="s">
        <v>20</v>
      </c>
      <c r="C46" s="15" t="s">
        <v>86</v>
      </c>
      <c r="D46" s="16" t="s">
        <v>72</v>
      </c>
      <c r="E46" s="12">
        <v>81</v>
      </c>
      <c r="F46" s="9">
        <v>35</v>
      </c>
      <c r="G46" s="9">
        <v>22</v>
      </c>
      <c r="H46" s="9">
        <v>24</v>
      </c>
      <c r="I46" s="11">
        <v>0</v>
      </c>
      <c r="J46" s="12">
        <v>72</v>
      </c>
      <c r="K46" s="9">
        <v>62</v>
      </c>
      <c r="L46" s="9">
        <v>5</v>
      </c>
      <c r="M46" s="9">
        <v>5</v>
      </c>
      <c r="N46" s="11">
        <v>0</v>
      </c>
      <c r="O46" s="12" t="s">
        <v>23</v>
      </c>
      <c r="P46" s="9" t="s">
        <v>23</v>
      </c>
      <c r="Q46" s="9" t="s">
        <v>23</v>
      </c>
      <c r="R46" s="9" t="s">
        <v>23</v>
      </c>
      <c r="S46" s="11" t="s">
        <v>23</v>
      </c>
      <c r="T46" s="14">
        <f t="shared" si="0"/>
        <v>153</v>
      </c>
      <c r="U46" s="14"/>
    </row>
    <row r="47" spans="2:21" ht="16.5" x14ac:dyDescent="0.25">
      <c r="B47" s="15" t="s">
        <v>20</v>
      </c>
      <c r="C47" s="15" t="s">
        <v>87</v>
      </c>
      <c r="D47" s="16" t="s">
        <v>88</v>
      </c>
      <c r="E47" s="12">
        <v>91</v>
      </c>
      <c r="F47" s="9">
        <v>44</v>
      </c>
      <c r="G47" s="9">
        <v>22</v>
      </c>
      <c r="H47" s="9">
        <v>25</v>
      </c>
      <c r="I47" s="11">
        <v>0</v>
      </c>
      <c r="J47" s="12">
        <v>74</v>
      </c>
      <c r="K47" s="9">
        <v>64</v>
      </c>
      <c r="L47" s="9">
        <v>5</v>
      </c>
      <c r="M47" s="9">
        <v>5</v>
      </c>
      <c r="N47" s="11">
        <v>0</v>
      </c>
      <c r="O47" s="12" t="s">
        <v>23</v>
      </c>
      <c r="P47" s="9" t="s">
        <v>23</v>
      </c>
      <c r="Q47" s="9" t="s">
        <v>23</v>
      </c>
      <c r="R47" s="9" t="s">
        <v>23</v>
      </c>
      <c r="S47" s="11" t="s">
        <v>23</v>
      </c>
      <c r="T47" s="14">
        <f t="shared" si="0"/>
        <v>165</v>
      </c>
      <c r="U47" s="14"/>
    </row>
    <row r="48" spans="2:21" ht="16.5" x14ac:dyDescent="0.25">
      <c r="B48" s="15" t="s">
        <v>20</v>
      </c>
      <c r="C48" s="15" t="s">
        <v>89</v>
      </c>
      <c r="D48" s="16" t="s">
        <v>90</v>
      </c>
      <c r="E48" s="12">
        <v>71</v>
      </c>
      <c r="F48" s="9">
        <v>33</v>
      </c>
      <c r="G48" s="9">
        <v>24</v>
      </c>
      <c r="H48" s="9">
        <v>14</v>
      </c>
      <c r="I48" s="11">
        <v>0</v>
      </c>
      <c r="J48" s="12">
        <v>98</v>
      </c>
      <c r="K48" s="9">
        <v>84</v>
      </c>
      <c r="L48" s="9">
        <v>14</v>
      </c>
      <c r="M48" s="9">
        <v>0</v>
      </c>
      <c r="N48" s="11">
        <v>0</v>
      </c>
      <c r="O48" s="12" t="s">
        <v>23</v>
      </c>
      <c r="P48" s="9" t="s">
        <v>23</v>
      </c>
      <c r="Q48" s="9" t="s">
        <v>23</v>
      </c>
      <c r="R48" s="9" t="s">
        <v>23</v>
      </c>
      <c r="S48" s="11" t="s">
        <v>23</v>
      </c>
      <c r="T48" s="14">
        <f t="shared" si="0"/>
        <v>169</v>
      </c>
      <c r="U48" s="14"/>
    </row>
    <row r="49" spans="2:21" ht="16.5" x14ac:dyDescent="0.25">
      <c r="B49" s="15" t="s">
        <v>20</v>
      </c>
      <c r="C49" s="15" t="s">
        <v>91</v>
      </c>
      <c r="D49" s="16" t="s">
        <v>92</v>
      </c>
      <c r="E49" s="12">
        <v>87</v>
      </c>
      <c r="F49" s="9">
        <v>40</v>
      </c>
      <c r="G49" s="9">
        <v>12</v>
      </c>
      <c r="H49" s="9">
        <v>35</v>
      </c>
      <c r="I49" s="11">
        <v>0</v>
      </c>
      <c r="J49" s="12">
        <v>68</v>
      </c>
      <c r="K49" s="9">
        <v>61</v>
      </c>
      <c r="L49" s="9">
        <v>5</v>
      </c>
      <c r="M49" s="9">
        <v>2</v>
      </c>
      <c r="N49" s="11">
        <v>0</v>
      </c>
      <c r="O49" s="12" t="s">
        <v>23</v>
      </c>
      <c r="P49" s="9" t="s">
        <v>23</v>
      </c>
      <c r="Q49" s="9" t="s">
        <v>23</v>
      </c>
      <c r="R49" s="9" t="s">
        <v>23</v>
      </c>
      <c r="S49" s="11" t="s">
        <v>23</v>
      </c>
      <c r="T49" s="14">
        <f t="shared" si="0"/>
        <v>155</v>
      </c>
      <c r="U49" s="14"/>
    </row>
    <row r="50" spans="2:21" ht="16.5" x14ac:dyDescent="0.25">
      <c r="B50" s="15" t="s">
        <v>20</v>
      </c>
      <c r="C50" s="15" t="s">
        <v>93</v>
      </c>
      <c r="D50" s="16" t="s">
        <v>94</v>
      </c>
      <c r="E50" s="12">
        <v>131</v>
      </c>
      <c r="F50" s="9">
        <v>84</v>
      </c>
      <c r="G50" s="9">
        <v>35</v>
      </c>
      <c r="H50" s="9">
        <v>12</v>
      </c>
      <c r="I50" s="11">
        <v>0</v>
      </c>
      <c r="J50" s="12">
        <v>5</v>
      </c>
      <c r="K50" s="9">
        <v>5</v>
      </c>
      <c r="L50" s="9">
        <v>0</v>
      </c>
      <c r="M50" s="9">
        <v>0</v>
      </c>
      <c r="N50" s="11"/>
      <c r="O50" s="12" t="s">
        <v>23</v>
      </c>
      <c r="P50" s="9" t="s">
        <v>23</v>
      </c>
      <c r="Q50" s="9" t="s">
        <v>23</v>
      </c>
      <c r="R50" s="9" t="s">
        <v>23</v>
      </c>
      <c r="S50" s="11" t="s">
        <v>23</v>
      </c>
      <c r="T50" s="14">
        <f t="shared" si="0"/>
        <v>136</v>
      </c>
      <c r="U50" s="14"/>
    </row>
    <row r="51" spans="2:21" ht="16.5" x14ac:dyDescent="0.25">
      <c r="B51" s="15" t="s">
        <v>20</v>
      </c>
      <c r="C51" s="15" t="s">
        <v>95</v>
      </c>
      <c r="D51" s="16" t="s">
        <v>96</v>
      </c>
      <c r="E51" s="12">
        <v>28</v>
      </c>
      <c r="F51" s="9">
        <v>13</v>
      </c>
      <c r="G51" s="9">
        <v>1</v>
      </c>
      <c r="H51" s="9">
        <v>14</v>
      </c>
      <c r="I51" s="11">
        <v>0</v>
      </c>
      <c r="J51" s="12">
        <v>56</v>
      </c>
      <c r="K51" s="9">
        <v>48</v>
      </c>
      <c r="L51" s="9">
        <v>1</v>
      </c>
      <c r="M51" s="9">
        <v>7</v>
      </c>
      <c r="N51" s="11">
        <v>0</v>
      </c>
      <c r="O51" s="12" t="s">
        <v>23</v>
      </c>
      <c r="P51" s="9" t="s">
        <v>23</v>
      </c>
      <c r="Q51" s="9" t="s">
        <v>23</v>
      </c>
      <c r="R51" s="9" t="s">
        <v>23</v>
      </c>
      <c r="S51" s="11" t="s">
        <v>23</v>
      </c>
      <c r="T51" s="14">
        <f t="shared" si="0"/>
        <v>84</v>
      </c>
      <c r="U51" s="14"/>
    </row>
    <row r="52" spans="2:21" ht="16.5" x14ac:dyDescent="0.25">
      <c r="B52" s="15" t="s">
        <v>20</v>
      </c>
      <c r="C52" s="15" t="s">
        <v>97</v>
      </c>
      <c r="D52" s="16" t="s">
        <v>98</v>
      </c>
      <c r="E52" s="12">
        <v>93</v>
      </c>
      <c r="F52" s="9">
        <v>44</v>
      </c>
      <c r="G52" s="9">
        <v>9</v>
      </c>
      <c r="H52" s="9">
        <v>40</v>
      </c>
      <c r="I52" s="11">
        <v>0</v>
      </c>
      <c r="J52" s="12">
        <v>69</v>
      </c>
      <c r="K52" s="9">
        <v>62</v>
      </c>
      <c r="L52" s="9">
        <v>0</v>
      </c>
      <c r="M52" s="9">
        <v>7</v>
      </c>
      <c r="N52" s="11">
        <v>0</v>
      </c>
      <c r="O52" s="12" t="s">
        <v>23</v>
      </c>
      <c r="P52" s="9" t="s">
        <v>23</v>
      </c>
      <c r="Q52" s="9" t="s">
        <v>23</v>
      </c>
      <c r="R52" s="9" t="s">
        <v>23</v>
      </c>
      <c r="S52" s="11" t="s">
        <v>23</v>
      </c>
      <c r="T52" s="14">
        <f t="shared" si="0"/>
        <v>162</v>
      </c>
      <c r="U52" s="14"/>
    </row>
  </sheetData>
  <sheetProtection algorithmName="SHA-512" hashValue="MfEfk++07Y7hgUEfiXtvdxvGg2lgR4Hpivzdz67cn9cMfEui3fblno3e4B25PeYU+eK6DEJribocnVmeOvgiHw==" saltValue="mXi+Hgc74IjRJxO4lwYQCg==" spinCount="100000" sheet="1" objects="1" scenarios="1"/>
  <protectedRanges>
    <protectedRange sqref="E13:N52" name="Rango1"/>
    <protectedRange sqref="U13:U52" name="Rango2"/>
  </protectedRanges>
  <mergeCells count="31">
    <mergeCell ref="B10:B11"/>
    <mergeCell ref="B8:C8"/>
    <mergeCell ref="D8:G8"/>
    <mergeCell ref="F11:F12"/>
    <mergeCell ref="G11:G12"/>
    <mergeCell ref="B9:U9"/>
    <mergeCell ref="T10:T12"/>
    <mergeCell ref="U10:U12"/>
    <mergeCell ref="H11:H12"/>
    <mergeCell ref="E11:E12"/>
    <mergeCell ref="S11:S12"/>
    <mergeCell ref="J11:J12"/>
    <mergeCell ref="K11:K12"/>
    <mergeCell ref="L11:L12"/>
    <mergeCell ref="M11:M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  <mergeCell ref="C6:S6"/>
  </mergeCells>
  <phoneticPr fontId="15" type="noConversion"/>
  <pageMargins left="0.7" right="0.7" top="0.75" bottom="0.75" header="0.3" footer="0.3"/>
  <pageSetup paperSize="9" scale="78" fitToHeight="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8B40-656C-477D-AE6C-B7DF9A4C8DE9}">
  <dimension ref="A1:N42"/>
  <sheetViews>
    <sheetView workbookViewId="0">
      <selection activeCell="A2" sqref="A2"/>
    </sheetView>
  </sheetViews>
  <sheetFormatPr baseColWidth="10" defaultColWidth="9.140625" defaultRowHeight="15" x14ac:dyDescent="0.25"/>
  <sheetData>
    <row r="1" spans="1:14" x14ac:dyDescent="0.25">
      <c r="A1" s="46" t="s">
        <v>9</v>
      </c>
      <c r="B1" s="27"/>
      <c r="C1" s="27"/>
      <c r="D1" s="27"/>
      <c r="E1" s="27"/>
      <c r="F1" s="47" t="s">
        <v>10</v>
      </c>
      <c r="G1" s="29"/>
      <c r="H1" s="29"/>
      <c r="I1" s="29"/>
      <c r="J1" s="29"/>
      <c r="M1" t="s">
        <v>99</v>
      </c>
    </row>
    <row r="2" spans="1:14" x14ac:dyDescent="0.25">
      <c r="B2" s="18" t="s">
        <v>100</v>
      </c>
      <c r="C2" t="s">
        <v>101</v>
      </c>
      <c r="G2" t="s">
        <v>100</v>
      </c>
      <c r="H2" t="s">
        <v>101</v>
      </c>
      <c r="M2" t="s">
        <v>100</v>
      </c>
      <c r="N2" t="s">
        <v>102</v>
      </c>
    </row>
    <row r="3" spans="1:14" x14ac:dyDescent="0.25">
      <c r="A3">
        <v>1</v>
      </c>
      <c r="B3" s="20">
        <f>C3-Avance!E13</f>
        <v>0</v>
      </c>
      <c r="C3">
        <f>Avance!F13+Avance!G13+Avance!H13</f>
        <v>129</v>
      </c>
      <c r="G3" s="20">
        <f>H3-Avance!J13</f>
        <v>0</v>
      </c>
      <c r="H3">
        <f>Avance!K13+Avance!L13+Avance!M13</f>
        <v>56</v>
      </c>
      <c r="M3">
        <f>N3-Avance!T13</f>
        <v>0</v>
      </c>
      <c r="N3">
        <f>Avance!E13+Avance!J13</f>
        <v>185</v>
      </c>
    </row>
    <row r="4" spans="1:14" x14ac:dyDescent="0.25">
      <c r="A4">
        <v>2</v>
      </c>
      <c r="B4" s="19">
        <f>C4-Avance!E14</f>
        <v>0</v>
      </c>
      <c r="C4">
        <f>Avance!F14+Avance!G14+Avance!H14</f>
        <v>5</v>
      </c>
      <c r="G4">
        <f>H4-Avance!J14</f>
        <v>0</v>
      </c>
      <c r="H4">
        <f>Avance!K14+Avance!L14+Avance!M14</f>
        <v>135</v>
      </c>
      <c r="M4">
        <f>N4-Avance!T14</f>
        <v>0</v>
      </c>
      <c r="N4">
        <f>Avance!E14+Avance!J14</f>
        <v>140</v>
      </c>
    </row>
    <row r="5" spans="1:14" x14ac:dyDescent="0.25">
      <c r="A5">
        <v>3</v>
      </c>
      <c r="B5" s="19">
        <f>C5-Avance!E15</f>
        <v>0</v>
      </c>
      <c r="C5">
        <f>Avance!F15+Avance!G15+Avance!H15</f>
        <v>86</v>
      </c>
      <c r="G5">
        <f>H5-Avance!J15</f>
        <v>0</v>
      </c>
      <c r="H5">
        <f>Avance!K15+Avance!L15+Avance!M15</f>
        <v>63</v>
      </c>
      <c r="M5">
        <f>N5-Avance!T15</f>
        <v>0</v>
      </c>
      <c r="N5">
        <f>Avance!E15+Avance!J15</f>
        <v>149</v>
      </c>
    </row>
    <row r="6" spans="1:14" x14ac:dyDescent="0.25">
      <c r="A6">
        <v>4</v>
      </c>
      <c r="B6" s="19">
        <f>C6-Avance!E16</f>
        <v>0</v>
      </c>
      <c r="C6">
        <f>Avance!F16+Avance!G16+Avance!H16</f>
        <v>138</v>
      </c>
      <c r="G6" s="20">
        <f>H6-Avance!J16</f>
        <v>0</v>
      </c>
      <c r="H6">
        <f>Avance!K16+Avance!L16+Avance!M16</f>
        <v>52</v>
      </c>
      <c r="M6">
        <f>N6-Avance!T16</f>
        <v>0</v>
      </c>
      <c r="N6">
        <f>Avance!E16+Avance!J16</f>
        <v>190</v>
      </c>
    </row>
    <row r="7" spans="1:14" x14ac:dyDescent="0.25">
      <c r="A7">
        <v>5</v>
      </c>
      <c r="B7" s="19">
        <f>C7-Avance!E17</f>
        <v>0</v>
      </c>
      <c r="C7">
        <f>Avance!F17+Avance!G17+Avance!H17</f>
        <v>78</v>
      </c>
      <c r="G7">
        <f>H7-Avance!J17</f>
        <v>0</v>
      </c>
      <c r="H7">
        <f>Avance!K17+Avance!L17+Avance!M17</f>
        <v>53</v>
      </c>
      <c r="M7">
        <f>N7-Avance!T17</f>
        <v>0</v>
      </c>
      <c r="N7">
        <f>Avance!E17+Avance!J17</f>
        <v>131</v>
      </c>
    </row>
    <row r="8" spans="1:14" x14ac:dyDescent="0.25">
      <c r="A8">
        <v>6</v>
      </c>
      <c r="B8" s="19">
        <f>C8-Avance!E18</f>
        <v>0</v>
      </c>
      <c r="C8">
        <f>Avance!F18+Avance!G18+Avance!H18</f>
        <v>91</v>
      </c>
      <c r="G8">
        <f>H8-Avance!J18</f>
        <v>0</v>
      </c>
      <c r="H8">
        <f>Avance!K18+Avance!L18+Avance!M18</f>
        <v>71</v>
      </c>
      <c r="M8">
        <f>N8-Avance!T18</f>
        <v>0</v>
      </c>
      <c r="N8">
        <f>Avance!E18+Avance!J18</f>
        <v>162</v>
      </c>
    </row>
    <row r="9" spans="1:14" x14ac:dyDescent="0.25">
      <c r="A9">
        <v>7</v>
      </c>
      <c r="B9" s="19">
        <f>C9-Avance!E19</f>
        <v>0</v>
      </c>
      <c r="C9">
        <f>Avance!F19+Avance!G19+Avance!H19</f>
        <v>87</v>
      </c>
      <c r="G9">
        <f>H9-Avance!J19</f>
        <v>0</v>
      </c>
      <c r="H9">
        <f>Avance!K19+Avance!L19+Avance!M19</f>
        <v>44</v>
      </c>
      <c r="M9">
        <f>N9-Avance!T19</f>
        <v>0</v>
      </c>
      <c r="N9">
        <f>Avance!E19+Avance!J19</f>
        <v>131</v>
      </c>
    </row>
    <row r="10" spans="1:14" x14ac:dyDescent="0.25">
      <c r="A10">
        <v>8</v>
      </c>
      <c r="B10" s="19">
        <f>C10-Avance!E20</f>
        <v>0</v>
      </c>
      <c r="C10">
        <f>Avance!F20+Avance!G20+Avance!H20</f>
        <v>78</v>
      </c>
      <c r="G10">
        <f>H10-Avance!J20</f>
        <v>0</v>
      </c>
      <c r="H10">
        <f>Avance!K20+Avance!L20+Avance!M20</f>
        <v>89</v>
      </c>
      <c r="M10">
        <f>N10-Avance!T20</f>
        <v>0</v>
      </c>
      <c r="N10">
        <f>Avance!E20+Avance!J20</f>
        <v>167</v>
      </c>
    </row>
    <row r="11" spans="1:14" x14ac:dyDescent="0.25">
      <c r="A11">
        <v>9</v>
      </c>
      <c r="B11" s="20">
        <f>C11-Avance!E21</f>
        <v>0</v>
      </c>
      <c r="C11">
        <f>Avance!F21+Avance!G21+Avance!H21</f>
        <v>73</v>
      </c>
      <c r="G11" s="20">
        <f>H11-Avance!J21</f>
        <v>0</v>
      </c>
      <c r="H11">
        <f>Avance!K21+Avance!L21+Avance!M21</f>
        <v>42</v>
      </c>
      <c r="M11">
        <f>N11-Avance!T21</f>
        <v>0</v>
      </c>
      <c r="N11">
        <f>Avance!E21+Avance!J21</f>
        <v>115</v>
      </c>
    </row>
    <row r="12" spans="1:14" x14ac:dyDescent="0.25">
      <c r="A12">
        <v>10</v>
      </c>
      <c r="B12" s="19">
        <f>C12-Avance!E22</f>
        <v>0</v>
      </c>
      <c r="C12">
        <f>Avance!F22+Avance!G22+Avance!H22</f>
        <v>81</v>
      </c>
      <c r="G12">
        <f>H12-Avance!J22</f>
        <v>0</v>
      </c>
      <c r="H12">
        <f>Avance!K22+Avance!L22+Avance!M22</f>
        <v>61</v>
      </c>
      <c r="M12">
        <f>N12-Avance!T22</f>
        <v>0</v>
      </c>
      <c r="N12">
        <f>Avance!E22+Avance!J22</f>
        <v>142</v>
      </c>
    </row>
    <row r="13" spans="1:14" x14ac:dyDescent="0.25">
      <c r="A13">
        <v>11</v>
      </c>
      <c r="B13" s="19">
        <f>C13-Avance!E23</f>
        <v>0</v>
      </c>
      <c r="C13">
        <f>Avance!F23+Avance!G23+Avance!H23</f>
        <v>80</v>
      </c>
      <c r="G13">
        <f>H13-Avance!J23</f>
        <v>0</v>
      </c>
      <c r="H13">
        <f>Avance!K23+Avance!L23+Avance!M23</f>
        <v>68</v>
      </c>
      <c r="M13">
        <f>N13-Avance!T23</f>
        <v>0</v>
      </c>
      <c r="N13">
        <f>Avance!E23+Avance!J23</f>
        <v>148</v>
      </c>
    </row>
    <row r="14" spans="1:14" x14ac:dyDescent="0.25">
      <c r="A14">
        <v>12</v>
      </c>
      <c r="B14" s="19">
        <f>C14-Avance!E24</f>
        <v>0</v>
      </c>
      <c r="C14">
        <f>Avance!F24+Avance!G24+Avance!H24</f>
        <v>65</v>
      </c>
      <c r="G14">
        <f>H14-Avance!J24</f>
        <v>0</v>
      </c>
      <c r="H14">
        <f>Avance!K24+Avance!L24+Avance!M24</f>
        <v>63</v>
      </c>
      <c r="M14">
        <f>N14-Avance!T24</f>
        <v>0</v>
      </c>
      <c r="N14">
        <f>Avance!E24+Avance!J24</f>
        <v>128</v>
      </c>
    </row>
    <row r="15" spans="1:14" x14ac:dyDescent="0.25">
      <c r="A15">
        <v>13</v>
      </c>
      <c r="B15" s="19">
        <f>C15-Avance!E25</f>
        <v>0</v>
      </c>
      <c r="C15">
        <f>Avance!F25+Avance!G25+Avance!H25</f>
        <v>121</v>
      </c>
      <c r="G15">
        <f>H15-Avance!J25</f>
        <v>0</v>
      </c>
      <c r="H15">
        <f>Avance!K25+Avance!L25+Avance!M25</f>
        <v>80</v>
      </c>
      <c r="M15">
        <f>N15-Avance!T25</f>
        <v>0</v>
      </c>
      <c r="N15">
        <f>Avance!E25+Avance!J25</f>
        <v>201</v>
      </c>
    </row>
    <row r="16" spans="1:14" x14ac:dyDescent="0.25">
      <c r="A16" s="22">
        <v>14</v>
      </c>
      <c r="B16" s="21">
        <f>C16-Avance!E26</f>
        <v>0</v>
      </c>
      <c r="C16">
        <f>Avance!F26+Avance!G26+Avance!H26</f>
        <v>122</v>
      </c>
      <c r="G16" s="21">
        <f>H16-Avance!J26</f>
        <v>0</v>
      </c>
      <c r="H16">
        <f>Avance!K26+Avance!L26+Avance!M26</f>
        <v>7</v>
      </c>
      <c r="M16">
        <f>N16-Avance!T26</f>
        <v>0</v>
      </c>
      <c r="N16">
        <f>Avance!E26+Avance!J26</f>
        <v>129</v>
      </c>
    </row>
    <row r="17" spans="1:14" x14ac:dyDescent="0.25">
      <c r="A17">
        <v>15</v>
      </c>
      <c r="B17" s="19">
        <f>C17-Avance!E27</f>
        <v>0</v>
      </c>
      <c r="C17">
        <f>Avance!F27+Avance!G27+Avance!H27</f>
        <v>70</v>
      </c>
      <c r="G17">
        <f>H17-Avance!J27</f>
        <v>0</v>
      </c>
      <c r="H17">
        <f>Avance!K27+Avance!L27+Avance!M27</f>
        <v>66</v>
      </c>
      <c r="M17">
        <f>N17-Avance!T27</f>
        <v>0</v>
      </c>
      <c r="N17">
        <f>Avance!E27+Avance!J27</f>
        <v>136</v>
      </c>
    </row>
    <row r="18" spans="1:14" x14ac:dyDescent="0.25">
      <c r="A18">
        <v>16</v>
      </c>
      <c r="B18" s="19">
        <f>C18-Avance!E28</f>
        <v>0</v>
      </c>
      <c r="C18">
        <f>Avance!F28+Avance!G28+Avance!H28</f>
        <v>86</v>
      </c>
      <c r="G18">
        <f>H18-Avance!J28</f>
        <v>0</v>
      </c>
      <c r="H18">
        <f>Avance!K28+Avance!L28+Avance!M28</f>
        <v>63</v>
      </c>
      <c r="M18">
        <f>N18-Avance!T28</f>
        <v>0</v>
      </c>
      <c r="N18">
        <f>Avance!E28+Avance!J28</f>
        <v>149</v>
      </c>
    </row>
    <row r="19" spans="1:14" x14ac:dyDescent="0.25">
      <c r="A19">
        <v>17</v>
      </c>
      <c r="B19" s="19">
        <f>C19-Avance!E29</f>
        <v>0</v>
      </c>
      <c r="C19">
        <f>Avance!F29+Avance!G29+Avance!H29</f>
        <v>127</v>
      </c>
      <c r="G19">
        <f>H19-Avance!J29</f>
        <v>0</v>
      </c>
      <c r="H19">
        <f>Avance!K29+Avance!L29+Avance!M29</f>
        <v>57</v>
      </c>
      <c r="M19">
        <f>N19-Avance!T29</f>
        <v>0</v>
      </c>
      <c r="N19">
        <f>Avance!E29+Avance!J29</f>
        <v>184</v>
      </c>
    </row>
    <row r="20" spans="1:14" x14ac:dyDescent="0.25">
      <c r="A20">
        <v>18</v>
      </c>
      <c r="B20" s="19">
        <f>C20-Avance!E30</f>
        <v>0</v>
      </c>
      <c r="C20">
        <f>Avance!F30+Avance!G30+Avance!H30</f>
        <v>95</v>
      </c>
      <c r="G20">
        <f>H20-Avance!J30</f>
        <v>0</v>
      </c>
      <c r="H20">
        <f>Avance!K30+Avance!L30+Avance!M30</f>
        <v>71</v>
      </c>
      <c r="M20">
        <f>N20-Avance!T30</f>
        <v>0</v>
      </c>
      <c r="N20">
        <f>Avance!E30+Avance!J30</f>
        <v>166</v>
      </c>
    </row>
    <row r="21" spans="1:14" x14ac:dyDescent="0.25">
      <c r="A21">
        <v>19</v>
      </c>
      <c r="B21" s="19">
        <f>C21-Avance!E31</f>
        <v>0</v>
      </c>
      <c r="C21">
        <f>Avance!F31+Avance!G31+Avance!H31</f>
        <v>99</v>
      </c>
      <c r="G21">
        <f>H21-Avance!J31</f>
        <v>0</v>
      </c>
      <c r="H21">
        <f>Avance!K31+Avance!L31+Avance!M31</f>
        <v>94</v>
      </c>
      <c r="M21">
        <f>N21-Avance!T31</f>
        <v>0</v>
      </c>
      <c r="N21">
        <f>Avance!E31+Avance!J31</f>
        <v>193</v>
      </c>
    </row>
    <row r="22" spans="1:14" x14ac:dyDescent="0.25">
      <c r="A22">
        <v>20</v>
      </c>
      <c r="B22" s="19">
        <f>C22-Avance!E32</f>
        <v>0</v>
      </c>
      <c r="C22">
        <f>Avance!F32+Avance!G32+Avance!H32</f>
        <v>56</v>
      </c>
      <c r="G22">
        <f>H22-Avance!J32</f>
        <v>0</v>
      </c>
      <c r="H22">
        <f>Avance!K32+Avance!L32+Avance!M32</f>
        <v>60</v>
      </c>
      <c r="M22">
        <f>N22-Avance!T32</f>
        <v>0</v>
      </c>
      <c r="N22">
        <f>Avance!E32+Avance!J32</f>
        <v>116</v>
      </c>
    </row>
    <row r="23" spans="1:14" x14ac:dyDescent="0.25">
      <c r="A23">
        <v>21</v>
      </c>
      <c r="B23" s="19">
        <f>C23-Avance!E33</f>
        <v>0</v>
      </c>
      <c r="C23">
        <f>Avance!F33+Avance!G33+Avance!H33</f>
        <v>67</v>
      </c>
      <c r="G23">
        <f>H23-Avance!J33</f>
        <v>0</v>
      </c>
      <c r="H23">
        <f>Avance!K33+Avance!L33+Avance!M33</f>
        <v>64</v>
      </c>
      <c r="M23">
        <f>N23-Avance!T33</f>
        <v>0</v>
      </c>
      <c r="N23">
        <f>Avance!E33+Avance!J33</f>
        <v>131</v>
      </c>
    </row>
    <row r="24" spans="1:14" x14ac:dyDescent="0.25">
      <c r="A24">
        <v>22</v>
      </c>
      <c r="B24" s="19">
        <f>C24-Avance!E34</f>
        <v>0</v>
      </c>
      <c r="C24">
        <f>Avance!F34+Avance!G34+Avance!H34</f>
        <v>90</v>
      </c>
      <c r="G24">
        <f>H24-Avance!J34</f>
        <v>0</v>
      </c>
      <c r="H24">
        <f>Avance!K34+Avance!L34+Avance!M34</f>
        <v>82</v>
      </c>
      <c r="M24">
        <f>N24-Avance!T34</f>
        <v>0</v>
      </c>
      <c r="N24">
        <f>Avance!E34+Avance!J34</f>
        <v>172</v>
      </c>
    </row>
    <row r="25" spans="1:14" x14ac:dyDescent="0.25">
      <c r="A25">
        <v>23</v>
      </c>
      <c r="B25" s="19">
        <f>C25-Avance!E35</f>
        <v>0</v>
      </c>
      <c r="C25">
        <f>Avance!F35+Avance!G35+Avance!H35</f>
        <v>57</v>
      </c>
      <c r="G25">
        <f>H25-Avance!J35</f>
        <v>0</v>
      </c>
      <c r="H25">
        <f>Avance!K35+Avance!L35+Avance!M35</f>
        <v>44</v>
      </c>
      <c r="M25">
        <f>N25-Avance!T35</f>
        <v>0</v>
      </c>
      <c r="N25">
        <f>Avance!E35+Avance!J35</f>
        <v>101</v>
      </c>
    </row>
    <row r="26" spans="1:14" x14ac:dyDescent="0.25">
      <c r="A26">
        <v>24</v>
      </c>
      <c r="B26" s="19">
        <f>C26-Avance!E36</f>
        <v>0</v>
      </c>
      <c r="C26">
        <f>Avance!F36+Avance!G36+Avance!H36</f>
        <v>69</v>
      </c>
      <c r="G26" s="20">
        <f>H26-Avance!J36</f>
        <v>0</v>
      </c>
      <c r="H26">
        <f>Avance!K36+Avance!L36+Avance!M36</f>
        <v>85</v>
      </c>
      <c r="M26">
        <f>N26-Avance!T36</f>
        <v>0</v>
      </c>
      <c r="N26">
        <f>Avance!E36+Avance!J36</f>
        <v>154</v>
      </c>
    </row>
    <row r="27" spans="1:14" x14ac:dyDescent="0.25">
      <c r="A27">
        <v>25</v>
      </c>
      <c r="B27" s="19">
        <f>C27-Avance!E37</f>
        <v>0</v>
      </c>
      <c r="C27">
        <f>Avance!F37+Avance!G37+Avance!H37</f>
        <v>74</v>
      </c>
      <c r="G27">
        <f>H27-Avance!J37</f>
        <v>0</v>
      </c>
      <c r="H27">
        <f>Avance!K37+Avance!L37+Avance!M37</f>
        <v>55</v>
      </c>
      <c r="M27">
        <f>N27-Avance!T37</f>
        <v>0</v>
      </c>
      <c r="N27">
        <f>Avance!E37+Avance!J37</f>
        <v>129</v>
      </c>
    </row>
    <row r="28" spans="1:14" x14ac:dyDescent="0.25">
      <c r="A28">
        <v>26</v>
      </c>
      <c r="B28" s="20">
        <f>C28-Avance!E38</f>
        <v>0</v>
      </c>
      <c r="C28">
        <f>Avance!F38+Avance!G38+Avance!H38</f>
        <v>92</v>
      </c>
      <c r="G28">
        <f>H28-Avance!J38</f>
        <v>0</v>
      </c>
      <c r="H28">
        <f>Avance!K38+Avance!L38+Avance!M38</f>
        <v>68</v>
      </c>
      <c r="M28">
        <f>N28-Avance!T38</f>
        <v>0</v>
      </c>
      <c r="N28">
        <f>Avance!E38+Avance!J38</f>
        <v>160</v>
      </c>
    </row>
    <row r="29" spans="1:14" x14ac:dyDescent="0.25">
      <c r="A29">
        <v>27</v>
      </c>
      <c r="B29" s="19">
        <f>C29-Avance!E39</f>
        <v>0</v>
      </c>
      <c r="C29">
        <f>Avance!F39+Avance!G39+Avance!H39</f>
        <v>94</v>
      </c>
      <c r="G29">
        <f>H29-Avance!J39</f>
        <v>0</v>
      </c>
      <c r="H29">
        <f>Avance!K39+Avance!L39+Avance!M39</f>
        <v>54</v>
      </c>
      <c r="M29">
        <f>N29-Avance!T39</f>
        <v>0</v>
      </c>
      <c r="N29">
        <f>Avance!E39+Avance!J39</f>
        <v>148</v>
      </c>
    </row>
    <row r="30" spans="1:14" x14ac:dyDescent="0.25">
      <c r="A30">
        <v>28</v>
      </c>
      <c r="B30" s="19">
        <f>C30-Avance!E40</f>
        <v>0</v>
      </c>
      <c r="C30">
        <f>Avance!F40+Avance!G40+Avance!H40</f>
        <v>60</v>
      </c>
      <c r="G30">
        <f>H30-Avance!J40</f>
        <v>0</v>
      </c>
      <c r="H30">
        <f>Avance!K40+Avance!L40+Avance!M40</f>
        <v>55</v>
      </c>
      <c r="M30">
        <f>N30-Avance!T40</f>
        <v>0</v>
      </c>
      <c r="N30">
        <f>Avance!E40+Avance!J40</f>
        <v>115</v>
      </c>
    </row>
    <row r="31" spans="1:14" x14ac:dyDescent="0.25">
      <c r="A31">
        <v>29</v>
      </c>
      <c r="B31" s="21">
        <f>C31-Avance!E41</f>
        <v>0</v>
      </c>
      <c r="C31">
        <f>Avance!F41+Avance!G41+Avance!H41</f>
        <v>105</v>
      </c>
      <c r="G31">
        <f>H31-Avance!J41</f>
        <v>0</v>
      </c>
      <c r="H31">
        <f>Avance!K41+Avance!L41+Avance!M41</f>
        <v>67</v>
      </c>
      <c r="M31">
        <f>N31-Avance!T41</f>
        <v>0</v>
      </c>
      <c r="N31">
        <f>Avance!E41+Avance!J41</f>
        <v>172</v>
      </c>
    </row>
    <row r="32" spans="1:14" x14ac:dyDescent="0.25">
      <c r="A32">
        <v>30</v>
      </c>
      <c r="B32" s="19">
        <f>C32-Avance!E42</f>
        <v>0</v>
      </c>
      <c r="C32">
        <f>Avance!F42+Avance!G42+Avance!H42</f>
        <v>72</v>
      </c>
      <c r="G32">
        <f>H32-Avance!J42</f>
        <v>0</v>
      </c>
      <c r="H32">
        <f>Avance!K42+Avance!L42+Avance!M42</f>
        <v>55</v>
      </c>
      <c r="M32">
        <f>N32-Avance!T42</f>
        <v>0</v>
      </c>
      <c r="N32">
        <f>Avance!E42+Avance!J42</f>
        <v>127</v>
      </c>
    </row>
    <row r="33" spans="1:14" x14ac:dyDescent="0.25">
      <c r="A33">
        <v>31</v>
      </c>
      <c r="B33" s="19">
        <f>C33-Avance!E43</f>
        <v>0</v>
      </c>
      <c r="C33">
        <f>Avance!F43+Avance!G43+Avance!H43</f>
        <v>105</v>
      </c>
      <c r="G33">
        <f>H33-Avance!J43</f>
        <v>0</v>
      </c>
      <c r="H33">
        <f>Avance!K43+Avance!L43+Avance!M43</f>
        <v>82</v>
      </c>
      <c r="M33">
        <f>N33-Avance!T43</f>
        <v>0</v>
      </c>
      <c r="N33">
        <f>Avance!E43+Avance!J43</f>
        <v>187</v>
      </c>
    </row>
    <row r="34" spans="1:14" x14ac:dyDescent="0.25">
      <c r="A34">
        <v>32</v>
      </c>
      <c r="B34" s="20">
        <f>C34-Avance!E44</f>
        <v>0</v>
      </c>
      <c r="C34">
        <f>Avance!F44+Avance!G44+Avance!H44</f>
        <v>106</v>
      </c>
      <c r="G34">
        <f>H34-Avance!J44</f>
        <v>0</v>
      </c>
      <c r="H34">
        <f>Avance!K44+Avance!L44+Avance!M44</f>
        <v>20</v>
      </c>
      <c r="M34">
        <f>N34-Avance!T44</f>
        <v>0</v>
      </c>
      <c r="N34">
        <f>Avance!E44+Avance!J44</f>
        <v>126</v>
      </c>
    </row>
    <row r="35" spans="1:14" x14ac:dyDescent="0.25">
      <c r="A35">
        <v>33</v>
      </c>
      <c r="B35" s="19">
        <f>C35-Avance!E45</f>
        <v>0</v>
      </c>
      <c r="C35">
        <f>Avance!F45+Avance!G45+Avance!H45</f>
        <v>47</v>
      </c>
      <c r="G35">
        <f>H35-Avance!J45</f>
        <v>0</v>
      </c>
      <c r="H35">
        <f>Avance!K45+Avance!L45+Avance!M45</f>
        <v>43</v>
      </c>
      <c r="M35">
        <f>N35-Avance!T45</f>
        <v>0</v>
      </c>
      <c r="N35">
        <f>Avance!E45+Avance!J45</f>
        <v>90</v>
      </c>
    </row>
    <row r="36" spans="1:14" x14ac:dyDescent="0.25">
      <c r="A36">
        <v>34</v>
      </c>
      <c r="B36" s="19">
        <f>C36-Avance!E46</f>
        <v>0</v>
      </c>
      <c r="C36">
        <f>Avance!F46+Avance!G46+Avance!H46</f>
        <v>81</v>
      </c>
      <c r="G36">
        <f>H36-Avance!J46</f>
        <v>0</v>
      </c>
      <c r="H36">
        <f>Avance!K46+Avance!L46+Avance!M46</f>
        <v>72</v>
      </c>
      <c r="M36">
        <f>N36-Avance!T46</f>
        <v>0</v>
      </c>
      <c r="N36">
        <f>Avance!E46+Avance!J46</f>
        <v>153</v>
      </c>
    </row>
    <row r="37" spans="1:14" x14ac:dyDescent="0.25">
      <c r="A37">
        <v>35</v>
      </c>
      <c r="B37" s="19">
        <f>C37-Avance!E47</f>
        <v>0</v>
      </c>
      <c r="C37">
        <f>Avance!F47+Avance!G47+Avance!H47</f>
        <v>91</v>
      </c>
      <c r="G37">
        <f>H37-Avance!J47</f>
        <v>0</v>
      </c>
      <c r="H37">
        <f>Avance!K47+Avance!L47+Avance!M47</f>
        <v>74</v>
      </c>
      <c r="M37">
        <f>N37-Avance!T47</f>
        <v>0</v>
      </c>
      <c r="N37">
        <f>Avance!E47+Avance!J47</f>
        <v>165</v>
      </c>
    </row>
    <row r="38" spans="1:14" x14ac:dyDescent="0.25">
      <c r="A38">
        <v>36</v>
      </c>
      <c r="B38" s="20">
        <f>C38-Avance!E48</f>
        <v>0</v>
      </c>
      <c r="C38">
        <f>Avance!F48+Avance!G48+Avance!H48</f>
        <v>71</v>
      </c>
      <c r="G38">
        <f>H38-Avance!J48</f>
        <v>0</v>
      </c>
      <c r="H38">
        <f>Avance!K48+Avance!L48+Avance!M48</f>
        <v>98</v>
      </c>
      <c r="M38">
        <f>N38-Avance!T48</f>
        <v>0</v>
      </c>
      <c r="N38">
        <f>Avance!E48+Avance!J48</f>
        <v>169</v>
      </c>
    </row>
    <row r="39" spans="1:14" x14ac:dyDescent="0.25">
      <c r="A39">
        <v>37</v>
      </c>
      <c r="B39" s="20">
        <f>C39-Avance!E49</f>
        <v>0</v>
      </c>
      <c r="C39">
        <f>Avance!F49+Avance!G49+Avance!H49</f>
        <v>87</v>
      </c>
      <c r="G39" s="20">
        <f>H39-Avance!J49</f>
        <v>0</v>
      </c>
      <c r="H39">
        <f>Avance!K49+Avance!L49+Avance!M49</f>
        <v>68</v>
      </c>
      <c r="M39">
        <f>N39-Avance!T49</f>
        <v>0</v>
      </c>
      <c r="N39">
        <f>Avance!E49+Avance!J49</f>
        <v>155</v>
      </c>
    </row>
    <row r="40" spans="1:14" x14ac:dyDescent="0.25">
      <c r="A40">
        <v>38</v>
      </c>
      <c r="B40" s="19">
        <f>C40-Avance!E50</f>
        <v>0</v>
      </c>
      <c r="C40">
        <f>Avance!F50+Avance!G50+Avance!H50</f>
        <v>131</v>
      </c>
      <c r="G40">
        <f>H40-Avance!J50</f>
        <v>0</v>
      </c>
      <c r="H40">
        <f>Avance!K50+Avance!L50+Avance!M50</f>
        <v>5</v>
      </c>
      <c r="M40">
        <f>N40-Avance!T50</f>
        <v>0</v>
      </c>
      <c r="N40">
        <f>Avance!E50+Avance!J50</f>
        <v>136</v>
      </c>
    </row>
    <row r="41" spans="1:14" x14ac:dyDescent="0.25">
      <c r="A41">
        <v>39</v>
      </c>
      <c r="B41" s="19">
        <f>C41-Avance!E51</f>
        <v>0</v>
      </c>
      <c r="C41">
        <f>Avance!F51+Avance!G51+Avance!H51</f>
        <v>28</v>
      </c>
      <c r="G41">
        <f>H41-Avance!J51</f>
        <v>0</v>
      </c>
      <c r="H41">
        <f>Avance!K51+Avance!L51+Avance!M51</f>
        <v>56</v>
      </c>
      <c r="M41">
        <f>N41-Avance!T51</f>
        <v>0</v>
      </c>
      <c r="N41">
        <f>Avance!E51+Avance!J51</f>
        <v>84</v>
      </c>
    </row>
    <row r="42" spans="1:14" x14ac:dyDescent="0.25">
      <c r="A42">
        <v>40</v>
      </c>
      <c r="B42" s="19">
        <f>C42-Avance!E52</f>
        <v>0</v>
      </c>
      <c r="C42">
        <f>Avance!F52+Avance!G52+Avance!H52</f>
        <v>93</v>
      </c>
      <c r="G42">
        <f>H42-Avance!J52</f>
        <v>0</v>
      </c>
      <c r="H42">
        <f>Avance!K52+Avance!L52+Avance!M52</f>
        <v>69</v>
      </c>
      <c r="M42">
        <f>N42-Avance!T52</f>
        <v>0</v>
      </c>
      <c r="N42">
        <f>Avance!E52+Avance!J52</f>
        <v>162</v>
      </c>
    </row>
  </sheetData>
  <mergeCells count="2">
    <mergeCell ref="A1:E1"/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Avance</vt:lpstr>
      <vt:lpstr>Hoja1</vt:lpstr>
      <vt:lpstr>Avance!Área_de_impresión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Brandon Ramírez</dc:creator>
  <cp:keywords/>
  <dc:description/>
  <cp:lastModifiedBy>ALVAREZ GOMEZ IVAN</cp:lastModifiedBy>
  <cp:revision/>
  <dcterms:created xsi:type="dcterms:W3CDTF">2026-10-15T23:26:39Z</dcterms:created>
  <dcterms:modified xsi:type="dcterms:W3CDTF">2026-10-22T00:41:14Z</dcterms:modified>
  <cp:category/>
  <cp:contentStatus/>
</cp:coreProperties>
</file>