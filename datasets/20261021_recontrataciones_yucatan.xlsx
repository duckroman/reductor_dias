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wnloads\"/>
    </mc:Choice>
  </mc:AlternateContent>
  <xr:revisionPtr revIDLastSave="0" documentId="13_ncr:1_{28179FF9-973A-4F67-B6F5-AF9FC5817013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" sheetId="8" r:id="rId1"/>
    <sheet name="Hoja1" sheetId="9" r:id="rId2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8" l="1"/>
  <c r="T14" i="8" s="1"/>
  <c r="J15" i="8"/>
  <c r="J16" i="8"/>
  <c r="J17" i="8"/>
  <c r="J18" i="8"/>
  <c r="J13" i="8"/>
  <c r="E14" i="8"/>
  <c r="E15" i="8"/>
  <c r="T15" i="8" s="1"/>
  <c r="E16" i="8"/>
  <c r="E17" i="8"/>
  <c r="E18" i="8"/>
  <c r="E13" i="8"/>
  <c r="N16" i="9"/>
  <c r="N17" i="9"/>
  <c r="N18" i="9"/>
  <c r="N19" i="9"/>
  <c r="N20" i="9"/>
  <c r="N15" i="9"/>
  <c r="M16" i="9"/>
  <c r="M17" i="9"/>
  <c r="M18" i="9"/>
  <c r="M19" i="9"/>
  <c r="M20" i="9"/>
  <c r="M15" i="9"/>
  <c r="L21" i="9"/>
  <c r="K21" i="9"/>
  <c r="J21" i="9"/>
  <c r="I21" i="9"/>
  <c r="H21" i="9"/>
  <c r="G21" i="9"/>
  <c r="F21" i="9"/>
  <c r="E21" i="9"/>
  <c r="D21" i="9"/>
  <c r="C21" i="9"/>
  <c r="T17" i="8"/>
  <c r="T18" i="8" l="1"/>
  <c r="T16" i="8"/>
  <c r="T13" i="8"/>
</calcChain>
</file>

<file path=xl/sharedStrings.xml><?xml version="1.0" encoding="utf-8"?>
<sst xmlns="http://schemas.openxmlformats.org/spreadsheetml/2006/main" count="89" uniqueCount="32">
  <si>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</si>
  <si>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</si>
  <si>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</si>
  <si>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</si>
  <si>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</si>
  <si>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</si>
  <si>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</si>
  <si>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</si>
  <si>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</si>
  <si>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</si>
  <si>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</si>
  <si>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</si>
  <si>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</si>
  <si>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</si>
  <si>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</si>
  <si>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</si>
  <si>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</si>
  <si>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</si>
  <si>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</si>
  <si>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</si>
  <si>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</si>
  <si>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31</t>
  </si>
  <si>
    <t>Valladolid</t>
  </si>
  <si>
    <t>Junta Local Ejecutiva en Yucatán</t>
  </si>
  <si>
    <t>03</t>
  </si>
  <si>
    <t>Mérida</t>
  </si>
  <si>
    <t>04</t>
  </si>
  <si>
    <t>05</t>
  </si>
  <si>
    <t>Umán</t>
  </si>
  <si>
    <t>06</t>
  </si>
  <si>
    <t>02</t>
  </si>
  <si>
    <t>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</si>
</sst>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20"/>
      <name val="Arial Narrow"/>
      <family val="2"/>
    </font>
    <font>
      <b/>
      <sz val="11"/>
      <name val="Arial Narrow"/>
      <family val="2"/>
    </font>
    <font>
      <sz val="11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14" xfId="0" applyFont="1" applyBorder="1" applyAlignment="1">
      <alignment horizontal="justify" vertical="justify" wrapText="1"/>
    </xf>
    <xf numFmtId="0" fontId="14" fillId="0" borderId="1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856357</xdr:colOff>
      <xdr:row>3</xdr:row>
      <xdr:rowOff>59662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20"/>
  <sheetViews>
    <sheetView showGridLines="0" tabSelected="1" topLeftCell="A7" zoomScale="85" zoomScaleNormal="85" workbookViewId="0">
      <selection activeCell="A19" sqref="A19:XFD19"/>
    </sheetView>
  </sheetViews>
  <sheetFormatPr baseColWidth="10" defaultColWidth="0" defaultRowHeight="14.5" x14ac:dyDescent="0.35"/>
  <cols>
    <col min="1" max="1" width="2.63281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6328125" customWidth="1"/>
    <col min="22" max="22" width="2.6328125" customWidth="1"/>
    <col min="23" max="51" width="0" hidden="1" customWidth="1"/>
    <col min="52" max="16384" width="11.453125" hidden="1"/>
  </cols>
  <sheetData>
    <row r="2" spans="2:22" s="2" customFormat="1" ht="25" x14ac:dyDescent="0.3">
      <c r="C2" s="24" t="s">
        <v>23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2:22" s="2" customFormat="1" ht="20" x14ac:dyDescent="0.3">
      <c r="C3" s="25" t="s">
        <v>4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38" t="s">
        <v>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5"/>
      <c r="U5" s="5"/>
    </row>
    <row r="6" spans="2:22" s="2" customFormat="1" ht="25" x14ac:dyDescent="0.5">
      <c r="C6" s="39" t="s">
        <v>6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"/>
      <c r="U6" s="6"/>
    </row>
    <row r="7" spans="2:22" s="2" customFormat="1" ht="14" x14ac:dyDescent="0.3">
      <c r="F7" s="34"/>
      <c r="G7" s="34"/>
      <c r="H7" s="4"/>
      <c r="I7" s="4"/>
    </row>
    <row r="8" spans="2:22" s="2" customFormat="1" ht="14" x14ac:dyDescent="0.3">
      <c r="B8" s="34" t="s">
        <v>2</v>
      </c>
      <c r="C8" s="34"/>
      <c r="D8" s="40">
        <v>46315</v>
      </c>
      <c r="E8" s="41"/>
      <c r="F8" s="41"/>
      <c r="G8" s="42"/>
    </row>
    <row r="9" spans="2:22" s="2" customFormat="1" ht="31.5" customHeight="1" thickBot="1" x14ac:dyDescent="0.35">
      <c r="B9" s="45" t="s">
        <v>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2:22" s="2" customFormat="1" ht="30.75" customHeight="1" thickBot="1" x14ac:dyDescent="0.35">
      <c r="B10" s="23" t="s">
        <v>7</v>
      </c>
      <c r="C10" s="23" t="s">
        <v>0</v>
      </c>
      <c r="D10" s="37" t="s">
        <v>1</v>
      </c>
      <c r="E10" s="26" t="s">
        <v>8</v>
      </c>
      <c r="F10" s="27"/>
      <c r="G10" s="27"/>
      <c r="H10" s="27"/>
      <c r="I10" s="27"/>
      <c r="J10" s="28" t="s">
        <v>9</v>
      </c>
      <c r="K10" s="29"/>
      <c r="L10" s="29"/>
      <c r="M10" s="29"/>
      <c r="N10" s="29"/>
      <c r="O10" s="35" t="s">
        <v>10</v>
      </c>
      <c r="P10" s="27"/>
      <c r="Q10" s="27"/>
      <c r="R10" s="27"/>
      <c r="S10" s="36"/>
      <c r="T10" s="23" t="s">
        <v>18</v>
      </c>
      <c r="U10" s="23" t="s">
        <v>20</v>
      </c>
    </row>
    <row r="11" spans="2:22" s="2" customFormat="1" ht="32.25" customHeight="1" thickBot="1" x14ac:dyDescent="0.35">
      <c r="B11" s="23"/>
      <c r="C11" s="23"/>
      <c r="D11" s="37"/>
      <c r="E11" s="30" t="s">
        <v>13</v>
      </c>
      <c r="F11" s="30" t="s">
        <v>14</v>
      </c>
      <c r="G11" s="30" t="s">
        <v>15</v>
      </c>
      <c r="H11" s="30" t="s">
        <v>16</v>
      </c>
      <c r="I11" s="30" t="s">
        <v>17</v>
      </c>
      <c r="J11" s="32" t="s">
        <v>13</v>
      </c>
      <c r="K11" s="32" t="s">
        <v>14</v>
      </c>
      <c r="L11" s="32" t="s">
        <v>15</v>
      </c>
      <c r="M11" s="32" t="s">
        <v>16</v>
      </c>
      <c r="N11" s="32" t="s">
        <v>17</v>
      </c>
      <c r="O11" s="30" t="s">
        <v>13</v>
      </c>
      <c r="P11" s="30" t="s">
        <v>14</v>
      </c>
      <c r="Q11" s="30" t="s">
        <v>15</v>
      </c>
      <c r="R11" s="30" t="s">
        <v>16</v>
      </c>
      <c r="S11" s="43" t="s">
        <v>17</v>
      </c>
      <c r="T11" s="23"/>
      <c r="U11" s="23"/>
    </row>
    <row r="12" spans="2:22" s="3" customFormat="1" ht="12" customHeight="1" thickBot="1" x14ac:dyDescent="0.3">
      <c r="B12" s="9" t="s">
        <v>5</v>
      </c>
      <c r="C12" s="9" t="s">
        <v>5</v>
      </c>
      <c r="D12" s="37"/>
      <c r="E12" s="31"/>
      <c r="F12" s="31"/>
      <c r="G12" s="31"/>
      <c r="H12" s="31"/>
      <c r="I12" s="31"/>
      <c r="J12" s="33"/>
      <c r="K12" s="33"/>
      <c r="L12" s="33"/>
      <c r="M12" s="33"/>
      <c r="N12" s="33"/>
      <c r="O12" s="31"/>
      <c r="P12" s="31"/>
      <c r="Q12" s="31"/>
      <c r="R12" s="31"/>
      <c r="S12" s="44"/>
      <c r="T12" s="23"/>
      <c r="U12" s="23"/>
    </row>
    <row r="13" spans="2:22" s="15" customFormat="1" ht="14.4" customHeight="1" x14ac:dyDescent="0.3">
      <c r="B13" s="7" t="s">
        <v>21</v>
      </c>
      <c r="C13" s="7" t="s">
        <v>11</v>
      </c>
      <c r="D13" s="10" t="s">
        <v>22</v>
      </c>
      <c r="E13" s="10">
        <f>F13+G13+H13</f>
        <v>65</v>
      </c>
      <c r="F13" s="8">
        <v>35</v>
      </c>
      <c r="G13" s="8">
        <v>14</v>
      </c>
      <c r="H13" s="8">
        <v>16</v>
      </c>
      <c r="I13" s="10">
        <v>0</v>
      </c>
      <c r="J13" s="10">
        <f>K13+L13+M13</f>
        <v>80</v>
      </c>
      <c r="K13" s="8">
        <v>43</v>
      </c>
      <c r="L13" s="8">
        <v>12</v>
      </c>
      <c r="M13" s="8">
        <v>25</v>
      </c>
      <c r="N13" s="10">
        <v>0</v>
      </c>
      <c r="O13" s="13" t="s">
        <v>12</v>
      </c>
      <c r="P13" s="8" t="s">
        <v>12</v>
      </c>
      <c r="Q13" s="8" t="s">
        <v>12</v>
      </c>
      <c r="R13" s="8" t="s">
        <v>12</v>
      </c>
      <c r="S13" s="10" t="s">
        <v>12</v>
      </c>
      <c r="T13" s="12">
        <f>J13+E13</f>
        <v>145</v>
      </c>
      <c r="U13" s="12"/>
      <c r="V13" s="14"/>
    </row>
    <row r="14" spans="2:22" s="2" customFormat="1" ht="14" x14ac:dyDescent="0.3">
      <c r="B14" s="7" t="s">
        <v>21</v>
      </c>
      <c r="C14" s="7" t="s">
        <v>30</v>
      </c>
      <c r="D14" s="10" t="s">
        <v>31</v>
      </c>
      <c r="E14" s="10">
        <f t="shared" ref="E14:E18" si="0">F14+G14+H14</f>
        <v>68</v>
      </c>
      <c r="F14" s="8">
        <v>25</v>
      </c>
      <c r="G14" s="8">
        <v>11</v>
      </c>
      <c r="H14" s="8">
        <v>32</v>
      </c>
      <c r="I14" s="10">
        <v>0</v>
      </c>
      <c r="J14" s="10">
        <f t="shared" ref="J14:J18" si="1">K14+L14+M14</f>
        <v>77</v>
      </c>
      <c r="K14" s="8">
        <v>71</v>
      </c>
      <c r="L14" s="8">
        <v>4</v>
      </c>
      <c r="M14" s="8">
        <v>2</v>
      </c>
      <c r="N14" s="10">
        <v>0</v>
      </c>
      <c r="O14" s="11" t="s">
        <v>12</v>
      </c>
      <c r="P14" s="8" t="s">
        <v>12</v>
      </c>
      <c r="Q14" s="8" t="s">
        <v>12</v>
      </c>
      <c r="R14" s="8" t="s">
        <v>12</v>
      </c>
      <c r="S14" s="10" t="s">
        <v>12</v>
      </c>
      <c r="T14" s="12">
        <f>J14+E14</f>
        <v>145</v>
      </c>
      <c r="U14" s="12"/>
    </row>
    <row r="15" spans="2:22" s="2" customFormat="1" ht="14" x14ac:dyDescent="0.3">
      <c r="B15" s="10" t="s">
        <v>21</v>
      </c>
      <c r="C15" s="10" t="s">
        <v>24</v>
      </c>
      <c r="D15" s="10" t="s">
        <v>25</v>
      </c>
      <c r="E15" s="10">
        <f t="shared" si="0"/>
        <v>57</v>
      </c>
      <c r="F15" s="10">
        <v>12</v>
      </c>
      <c r="G15" s="10">
        <v>5</v>
      </c>
      <c r="H15" s="10">
        <v>40</v>
      </c>
      <c r="I15" s="10">
        <v>0</v>
      </c>
      <c r="J15" s="10">
        <f t="shared" si="1"/>
        <v>81</v>
      </c>
      <c r="K15" s="10">
        <v>67</v>
      </c>
      <c r="L15" s="10">
        <v>4</v>
      </c>
      <c r="M15" s="10">
        <v>10</v>
      </c>
      <c r="N15" s="10">
        <v>0</v>
      </c>
      <c r="O15" s="19" t="s">
        <v>12</v>
      </c>
      <c r="P15" s="19" t="s">
        <v>12</v>
      </c>
      <c r="Q15" s="19" t="s">
        <v>12</v>
      </c>
      <c r="R15" s="19" t="s">
        <v>12</v>
      </c>
      <c r="S15" s="19" t="s">
        <v>12</v>
      </c>
      <c r="T15" s="12">
        <f t="shared" ref="T15:T18" si="2">J15+E15</f>
        <v>138</v>
      </c>
      <c r="U15" s="17"/>
    </row>
    <row r="16" spans="2:22" s="2" customFormat="1" ht="14" x14ac:dyDescent="0.3">
      <c r="B16" s="7" t="s">
        <v>21</v>
      </c>
      <c r="C16" s="7" t="s">
        <v>26</v>
      </c>
      <c r="D16" s="10" t="s">
        <v>25</v>
      </c>
      <c r="E16" s="10">
        <f t="shared" si="0"/>
        <v>45</v>
      </c>
      <c r="F16" s="8">
        <v>11</v>
      </c>
      <c r="G16" s="8">
        <v>14</v>
      </c>
      <c r="H16" s="8">
        <v>20</v>
      </c>
      <c r="I16" s="10">
        <v>0</v>
      </c>
      <c r="J16" s="10">
        <f t="shared" si="1"/>
        <v>61</v>
      </c>
      <c r="K16" s="8">
        <v>49</v>
      </c>
      <c r="L16" s="8">
        <v>6</v>
      </c>
      <c r="M16" s="8">
        <v>6</v>
      </c>
      <c r="N16" s="10">
        <v>0</v>
      </c>
      <c r="O16" s="8" t="s">
        <v>12</v>
      </c>
      <c r="P16" s="8" t="s">
        <v>12</v>
      </c>
      <c r="Q16" s="8" t="s">
        <v>12</v>
      </c>
      <c r="R16" s="8" t="s">
        <v>12</v>
      </c>
      <c r="S16" s="10" t="s">
        <v>12</v>
      </c>
      <c r="T16" s="12">
        <f t="shared" si="2"/>
        <v>106</v>
      </c>
      <c r="U16" s="16"/>
    </row>
    <row r="17" spans="2:21" s="2" customFormat="1" ht="14" x14ac:dyDescent="0.3">
      <c r="B17" s="7" t="s">
        <v>21</v>
      </c>
      <c r="C17" s="7" t="s">
        <v>27</v>
      </c>
      <c r="D17" s="10" t="s">
        <v>28</v>
      </c>
      <c r="E17" s="10">
        <f t="shared" si="0"/>
        <v>47</v>
      </c>
      <c r="F17" s="8">
        <v>21</v>
      </c>
      <c r="G17" s="8">
        <v>16</v>
      </c>
      <c r="H17" s="8">
        <v>10</v>
      </c>
      <c r="I17" s="10">
        <v>0</v>
      </c>
      <c r="J17" s="10">
        <f t="shared" si="1"/>
        <v>67</v>
      </c>
      <c r="K17" s="8">
        <v>59</v>
      </c>
      <c r="L17" s="8">
        <v>4</v>
      </c>
      <c r="M17" s="8">
        <v>4</v>
      </c>
      <c r="N17" s="10">
        <v>0</v>
      </c>
      <c r="O17" s="8" t="s">
        <v>12</v>
      </c>
      <c r="P17" s="8" t="s">
        <v>12</v>
      </c>
      <c r="Q17" s="8" t="s">
        <v>12</v>
      </c>
      <c r="R17" s="8" t="s">
        <v>12</v>
      </c>
      <c r="S17" s="10" t="s">
        <v>12</v>
      </c>
      <c r="T17" s="12">
        <f t="shared" si="2"/>
        <v>114</v>
      </c>
      <c r="U17" s="12"/>
    </row>
    <row r="18" spans="2:21" s="2" customFormat="1" ht="14" x14ac:dyDescent="0.3">
      <c r="B18" s="18" t="s">
        <v>21</v>
      </c>
      <c r="C18" s="18" t="s">
        <v>29</v>
      </c>
      <c r="D18" s="19" t="s">
        <v>25</v>
      </c>
      <c r="E18" s="19">
        <f t="shared" si="0"/>
        <v>62</v>
      </c>
      <c r="F18" s="20">
        <v>23</v>
      </c>
      <c r="G18" s="20">
        <v>6</v>
      </c>
      <c r="H18" s="20">
        <v>33</v>
      </c>
      <c r="I18" s="19">
        <v>0</v>
      </c>
      <c r="J18" s="19">
        <f t="shared" si="1"/>
        <v>64</v>
      </c>
      <c r="K18" s="20">
        <v>57</v>
      </c>
      <c r="L18" s="20">
        <v>4</v>
      </c>
      <c r="M18" s="20">
        <v>3</v>
      </c>
      <c r="N18" s="19">
        <v>0</v>
      </c>
      <c r="O18" s="8" t="s">
        <v>12</v>
      </c>
      <c r="P18" s="20" t="s">
        <v>12</v>
      </c>
      <c r="Q18" s="20" t="s">
        <v>12</v>
      </c>
      <c r="R18" s="20" t="s">
        <v>12</v>
      </c>
      <c r="S18" s="19" t="s">
        <v>12</v>
      </c>
      <c r="T18" s="12">
        <f t="shared" si="2"/>
        <v>126</v>
      </c>
      <c r="U18" s="12"/>
    </row>
    <row r="19" spans="2:21" x14ac:dyDescent="0.35">
      <c r="J19" s="8"/>
    </row>
    <row r="20" spans="2:21" x14ac:dyDescent="0.35">
      <c r="B20" s="22"/>
    </row>
  </sheetData>
  <mergeCells count="31"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6027-8593-4DAF-BA9A-74621EE927F1}">
  <dimension ref="C12:N21"/>
  <sheetViews>
    <sheetView workbookViewId="0">
      <selection activeCell="M15" sqref="M15"/>
    </sheetView>
  </sheetViews>
  <sheetFormatPr baseColWidth="10" defaultRowHeight="14.5" x14ac:dyDescent="0.35"/>
  <sheetData>
    <row r="12" spans="3:14" ht="15" thickBot="1" x14ac:dyDescent="0.4"/>
    <row r="13" spans="3:14" x14ac:dyDescent="0.35">
      <c r="C13" s="30" t="s">
        <v>13</v>
      </c>
      <c r="D13" s="30" t="s">
        <v>14</v>
      </c>
      <c r="E13" s="30" t="s">
        <v>15</v>
      </c>
      <c r="F13" s="30" t="s">
        <v>16</v>
      </c>
      <c r="G13" s="30" t="s">
        <v>17</v>
      </c>
      <c r="H13" s="32" t="s">
        <v>13</v>
      </c>
      <c r="I13" s="32" t="s">
        <v>14</v>
      </c>
      <c r="J13" s="32" t="s">
        <v>15</v>
      </c>
      <c r="K13" s="32" t="s">
        <v>16</v>
      </c>
      <c r="L13" s="32" t="s">
        <v>17</v>
      </c>
    </row>
    <row r="14" spans="3:14" ht="15" thickBot="1" x14ac:dyDescent="0.4">
      <c r="C14" s="31"/>
      <c r="D14" s="31"/>
      <c r="E14" s="31"/>
      <c r="F14" s="31"/>
      <c r="G14" s="31"/>
      <c r="H14" s="33"/>
      <c r="I14" s="33"/>
      <c r="J14" s="33"/>
      <c r="K14" s="33"/>
      <c r="L14" s="33"/>
    </row>
    <row r="15" spans="3:14" x14ac:dyDescent="0.35">
      <c r="C15" s="13">
        <v>65</v>
      </c>
      <c r="D15" s="8">
        <v>35</v>
      </c>
      <c r="E15" s="8">
        <v>14</v>
      </c>
      <c r="F15" s="8">
        <v>16</v>
      </c>
      <c r="G15" s="10">
        <v>0</v>
      </c>
      <c r="H15" s="13">
        <v>80</v>
      </c>
      <c r="I15" s="8">
        <v>43</v>
      </c>
      <c r="J15" s="8">
        <v>12</v>
      </c>
      <c r="K15" s="8">
        <v>25</v>
      </c>
      <c r="L15" s="10">
        <v>0</v>
      </c>
      <c r="M15" t="b">
        <f>D15+E15+F15+G15=C15</f>
        <v>1</v>
      </c>
      <c r="N15" t="b">
        <f>I15+J15+K15+L15=H15</f>
        <v>1</v>
      </c>
    </row>
    <row r="16" spans="3:14" x14ac:dyDescent="0.35">
      <c r="C16" s="11">
        <v>68</v>
      </c>
      <c r="D16" s="8">
        <v>25</v>
      </c>
      <c r="E16" s="8">
        <v>11</v>
      </c>
      <c r="F16" s="8">
        <v>32</v>
      </c>
      <c r="G16" s="10">
        <v>0</v>
      </c>
      <c r="H16" s="11">
        <v>77</v>
      </c>
      <c r="I16" s="8">
        <v>71</v>
      </c>
      <c r="J16" s="8">
        <v>4</v>
      </c>
      <c r="K16" s="8">
        <v>2</v>
      </c>
      <c r="L16" s="10">
        <v>0</v>
      </c>
      <c r="M16" t="b">
        <f t="shared" ref="M16:M20" si="0">D16+E16+F16+G16=C16</f>
        <v>1</v>
      </c>
      <c r="N16" t="b">
        <f t="shared" ref="N16:N20" si="1">I16+J16+K16+L16=H16</f>
        <v>1</v>
      </c>
    </row>
    <row r="17" spans="3:14" x14ac:dyDescent="0.35">
      <c r="C17" s="10">
        <v>57</v>
      </c>
      <c r="D17" s="10">
        <v>12</v>
      </c>
      <c r="E17" s="10">
        <v>5</v>
      </c>
      <c r="F17" s="10">
        <v>40</v>
      </c>
      <c r="G17" s="10">
        <v>0</v>
      </c>
      <c r="H17" s="10">
        <v>81</v>
      </c>
      <c r="I17" s="10">
        <v>67</v>
      </c>
      <c r="J17" s="10">
        <v>4</v>
      </c>
      <c r="K17" s="10">
        <v>10</v>
      </c>
      <c r="L17" s="10">
        <v>0</v>
      </c>
      <c r="M17" t="b">
        <f t="shared" si="0"/>
        <v>1</v>
      </c>
      <c r="N17" t="b">
        <f t="shared" si="1"/>
        <v>1</v>
      </c>
    </row>
    <row r="18" spans="3:14" x14ac:dyDescent="0.35">
      <c r="C18" s="8">
        <v>25</v>
      </c>
      <c r="D18" s="8">
        <v>11</v>
      </c>
      <c r="E18" s="8">
        <v>14</v>
      </c>
      <c r="F18" s="8">
        <v>20</v>
      </c>
      <c r="G18" s="10">
        <v>0</v>
      </c>
      <c r="H18" s="8">
        <v>55</v>
      </c>
      <c r="I18" s="8">
        <v>49</v>
      </c>
      <c r="J18" s="8">
        <v>6</v>
      </c>
      <c r="K18" s="8">
        <v>6</v>
      </c>
      <c r="L18" s="10">
        <v>0</v>
      </c>
      <c r="M18" t="b">
        <f t="shared" si="0"/>
        <v>0</v>
      </c>
      <c r="N18" t="b">
        <f t="shared" si="1"/>
        <v>0</v>
      </c>
    </row>
    <row r="19" spans="3:14" x14ac:dyDescent="0.35">
      <c r="C19" s="8">
        <v>47</v>
      </c>
      <c r="D19" s="8">
        <v>21</v>
      </c>
      <c r="E19" s="8">
        <v>16</v>
      </c>
      <c r="F19" s="8">
        <v>10</v>
      </c>
      <c r="G19" s="10">
        <v>0</v>
      </c>
      <c r="H19" s="8">
        <v>67</v>
      </c>
      <c r="I19" s="8">
        <v>59</v>
      </c>
      <c r="J19" s="8">
        <v>4</v>
      </c>
      <c r="K19" s="8">
        <v>4</v>
      </c>
      <c r="L19" s="10">
        <v>0</v>
      </c>
      <c r="M19" t="b">
        <f t="shared" si="0"/>
        <v>1</v>
      </c>
      <c r="N19" t="b">
        <f t="shared" si="1"/>
        <v>1</v>
      </c>
    </row>
    <row r="20" spans="3:14" x14ac:dyDescent="0.35">
      <c r="C20" s="8">
        <v>62</v>
      </c>
      <c r="D20" s="20">
        <v>23</v>
      </c>
      <c r="E20" s="20">
        <v>6</v>
      </c>
      <c r="F20" s="20">
        <v>33</v>
      </c>
      <c r="G20" s="19">
        <v>0</v>
      </c>
      <c r="H20" s="8">
        <v>64</v>
      </c>
      <c r="I20" s="20">
        <v>57</v>
      </c>
      <c r="J20" s="20">
        <v>4</v>
      </c>
      <c r="K20" s="20">
        <v>3</v>
      </c>
      <c r="L20" s="19">
        <v>0</v>
      </c>
      <c r="M20" t="b">
        <f t="shared" si="0"/>
        <v>1</v>
      </c>
      <c r="N20" t="b">
        <f t="shared" si="1"/>
        <v>1</v>
      </c>
    </row>
    <row r="21" spans="3:14" x14ac:dyDescent="0.35">
      <c r="C21" s="21">
        <f>SUM(C15:C20)</f>
        <v>324</v>
      </c>
      <c r="D21" s="8">
        <f t="shared" ref="D21:L21" si="2">SUM(D15:D20)</f>
        <v>127</v>
      </c>
      <c r="E21" s="8">
        <f t="shared" si="2"/>
        <v>66</v>
      </c>
      <c r="F21" s="8">
        <f t="shared" si="2"/>
        <v>151</v>
      </c>
      <c r="G21" s="8">
        <f t="shared" si="2"/>
        <v>0</v>
      </c>
      <c r="H21" s="21">
        <f t="shared" si="2"/>
        <v>424</v>
      </c>
      <c r="I21" s="8">
        <f t="shared" si="2"/>
        <v>346</v>
      </c>
      <c r="J21" s="8">
        <f t="shared" si="2"/>
        <v>34</v>
      </c>
      <c r="K21" s="8">
        <f t="shared" si="2"/>
        <v>50</v>
      </c>
      <c r="L21" s="8">
        <f t="shared" si="2"/>
        <v>0</v>
      </c>
    </row>
  </sheetData>
  <mergeCells count="10">
    <mergeCell ref="I13:I14"/>
    <mergeCell ref="J13:J14"/>
    <mergeCell ref="K13:K14"/>
    <mergeCell ref="L13:L14"/>
    <mergeCell ref="C13:C14"/>
    <mergeCell ref="D13:D14"/>
    <mergeCell ref="E13:E14"/>
    <mergeCell ref="F13:F14"/>
    <mergeCell ref="G13:G14"/>
    <mergeCell ref="H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Avance</vt:lpstr>
      <vt:lpstr>Hoja1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ROMAN CARLOS JAIME</cp:lastModifiedBy>
  <cp:lastPrinted>2026-10-16T00:10:50Z</cp:lastPrinted>
  <dcterms:created xsi:type="dcterms:W3CDTF">2026-10-15T23:26:39Z</dcterms:created>
  <dcterms:modified xsi:type="dcterms:W3CDTF">2026-10-21T21:27:52Z</dcterms:modified>
</cp:coreProperties>
</file>